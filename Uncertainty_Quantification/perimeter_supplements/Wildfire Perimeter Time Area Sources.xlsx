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ayi\Documents\ChatGPT\NASA Wildfire Drone Project\outputs\01a10a3a-3eae-7af0-a978-a284f7603c82\"/>
    </mc:Choice>
  </mc:AlternateContent>
  <xr:revisionPtr revIDLastSave="0" documentId="13_ncr:1_{5607C4B2-0E33-4929-BD75-9D573EE762AA}" xr6:coauthVersionLast="47" xr6:coauthVersionMax="47" xr10:uidLastSave="{00000000-0000-0000-0000-000000000000}"/>
  <bookViews>
    <workbookView xWindow="57480" yWindow="10335" windowWidth="29040" windowHeight="15720" activeTab="3" xr2:uid="{00000000-000D-0000-FFFF-FFFF00000000}"/>
  </bookViews>
  <sheets>
    <sheet name="Pioneer 2016" sheetId="1" r:id="rId1"/>
    <sheet name="LNU 2020" sheetId="2" r:id="rId2"/>
    <sheet name="Carr 2018" sheetId="3" r:id="rId3"/>
    <sheet name="Refere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5" i="2" l="1"/>
  <c r="B369" i="2"/>
  <c r="B367" i="2"/>
  <c r="B365" i="2"/>
  <c r="B363" i="2"/>
  <c r="B361" i="2"/>
  <c r="B359" i="2"/>
  <c r="B357" i="2"/>
  <c r="B356" i="2"/>
  <c r="B354" i="2"/>
  <c r="B353" i="2"/>
  <c r="B352" i="2"/>
  <c r="B351" i="2"/>
  <c r="B350" i="2"/>
  <c r="B349" i="2"/>
  <c r="B348" i="2"/>
  <c r="B347" i="2"/>
  <c r="B346" i="2"/>
  <c r="B344" i="2"/>
  <c r="B343" i="2"/>
  <c r="B342" i="2"/>
  <c r="B341" i="2"/>
  <c r="B340" i="2"/>
  <c r="B339" i="2"/>
  <c r="B338" i="2"/>
  <c r="B337" i="2"/>
  <c r="B336" i="2"/>
  <c r="B335" i="2"/>
  <c r="B331" i="2"/>
  <c r="B330" i="2"/>
  <c r="B329" i="2"/>
  <c r="B328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4" i="2"/>
  <c r="B112" i="2"/>
  <c r="B111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</calcChain>
</file>

<file path=xl/sharedStrings.xml><?xml version="1.0" encoding="utf-8"?>
<sst xmlns="http://schemas.openxmlformats.org/spreadsheetml/2006/main" count="1969" uniqueCount="512">
  <si>
    <t>Local time / date
MDT (UTC−06:00)</t>
  </si>
  <si>
    <t>Area (acres)</t>
  </si>
  <si>
    <t>Source</t>
  </si>
  <si>
    <t>Data type</t>
  </si>
  <si>
    <t>Comment</t>
  </si>
  <si>
    <t>Gabbert 2016, p. 2, quoting USFS</t>
  </si>
  <si>
    <t>Observation: Reported estimate (news quoting USFS)</t>
  </si>
  <si>
    <t>New: Reports 1–1.5 acres at 17:17 near T7N R6E, Section 16. Add an early-size annotation; no mapped boundary is supplied.</t>
  </si>
  <si>
    <t>New: Reports about 100 acres at 21:27, with poor access and helicopter landing constraints. Add an approximate area point; no mapped boundary is supplied.</t>
  </si>
  <si>
    <t>ICS-209-PLUS v3</t>
  </si>
  <si>
    <t>Observation: Incident report (method unspecified)</t>
  </si>
  <si>
    <t>New: Reports 100 acres and 0% containment. Add a reported-area point at this report time; the report does not supply a mapped boundary.</t>
  </si>
  <si>
    <t>NIFC Open Data / GeoMAC</t>
  </si>
  <si>
    <t>Aircraft GPS</t>
  </si>
  <si>
    <t>New: Reports 350 acres and 0% containment. Add a reported-area point at this report time; the report does not supply a mapped boundary.</t>
  </si>
  <si>
    <t>New: Reports 620 acres and 0% containment. Add a reported-area point at this report time; the report does not supply a mapped boundary.</t>
  </si>
  <si>
    <t>New: Reports 1,300 acres and 20% containment. Add a reported-area point at this report time; the report does not supply a mapped boundary.</t>
  </si>
  <si>
    <t>Infrared imagery (platform unknown)</t>
  </si>
  <si>
    <t>New: Reports 2,906 acres and 26% containment. Add a reported-area point at this report time; the report does not supply a mapped boundary.</t>
  </si>
  <si>
    <t>New: Reports 3,528 acres and 29% containment. Add a reported-area point at this report time; the report does not supply a mapped boundary.</t>
  </si>
  <si>
    <t>New: Reports 3,725 acres and 32% containment. Add a reported-area point at this report time; the report does not supply a mapped boundary.</t>
  </si>
  <si>
    <t>Unknown</t>
  </si>
  <si>
    <t>New: Reports 4,602 acres and 32% containment. Add a reported-area point at this report time; the report does not supply a mapped boundary.</t>
  </si>
  <si>
    <t>New: Reports 4,982 acres and 33% containment. Add a reported-area point at this report time; the report does not supply a mapped boundary.</t>
  </si>
  <si>
    <t>Hyde and Strand 2019, pp. 2–3, 6–7</t>
  </si>
  <si>
    <t>Event: GeoMAC-based study</t>
  </si>
  <si>
    <t>New: Fire burned through the modeled Becker treatment area during 27–31 July. Mark that interval on the timeline. Proposed treatments were not implemented; timing comes from GeoMAC.</t>
  </si>
  <si>
    <t>New: Reports 10,084 acres and 35% containment. Add a reported-area point at this report time; the report does not supply a mapped boundary.</t>
  </si>
  <si>
    <t>New: Reports 12,869 acres and 27% containment. Add a reported-area point at this report time; the report does not supply a mapped boundary.</t>
  </si>
  <si>
    <t>New: Reports 16,204 acres and 27% containment. Add a reported-area point at this report time; the report does not supply a mapped boundary.</t>
  </si>
  <si>
    <t>New: Reports 18,933 acres and 27% containment. Add a reported-area point at this report time; the report does not supply a mapped boundary.</t>
  </si>
  <si>
    <t>New: Reports 27,417 acres and 30% containment. Add a reported-area point at this report time; the report does not supply a mapped boundary.</t>
  </si>
  <si>
    <t>Yellow Pine Times / agency update, 1 Aug 2016</t>
  </si>
  <si>
    <t>Observation: Agency report, republished</t>
  </si>
  <si>
    <t>New: Reports 38,072 acres and 30% containment; describes burnout along Sunset Lookout Road. Add a reported-area point and a burnout annotation. Exact observation time and burnout geometry are unavailable.</t>
  </si>
  <si>
    <t>New: Reports 38,072 acres and 28% containment. Add a reported-area point at this report time; the report does not supply a mapped boundary.</t>
  </si>
  <si>
    <t>New: Reports 42,051 acres and 36% containment. Add a reported-area point at this report time; the report does not supply a mapped boundary.</t>
  </si>
  <si>
    <t>New: Reports 48,350 acres and 29% containment. Add a reported-area point at this report time; the report does not supply a mapped boundary.</t>
  </si>
  <si>
    <t>New: Reports 50,478 acres and 27% containment. Add a reported-area point at this report time; the report does not supply a mapped boundary.</t>
  </si>
  <si>
    <t>New: Reports 51,903 acres and 20% containment. Add a reported-area point at this report time; the report does not supply a mapped boundary.</t>
  </si>
  <si>
    <t>New: Reports 58,136 acres and 26% containment. Add a reported-area point at this report time; the report does not supply a mapped boundary.</t>
  </si>
  <si>
    <t>New: Reports 60,882 acres and 25% containment. Add a reported-area point at this report time; the report does not supply a mapped boundary.</t>
  </si>
  <si>
    <t>New: Reports 63,362 acres and 28% containment. Add a reported-area point at this report time; the report does not supply a mapped boundary.</t>
  </si>
  <si>
    <t>New: Reports 64,351 acres and 37% containment. Add a reported-area point at this report time; the report does not supply a mapped boundary.</t>
  </si>
  <si>
    <t>New: Reports 64,786 acres and 37% containment. Add a reported-area point at this report time; the report does not supply a mapped boundary.</t>
  </si>
  <si>
    <t>New: Reports 65,285 acres and 37% containment. Add a reported-area point at this report time; the report does not supply a mapped boundary.</t>
  </si>
  <si>
    <t>New: Reports 66,884 acres and 40% containment. Add a reported-area point at this report time; the report does not supply a mapped boundary.</t>
  </si>
  <si>
    <t>New: Reports 68,893 acres and 40% containment. Add a reported-area point at this report time; the report does not supply a mapped boundary.</t>
  </si>
  <si>
    <t>New: Reports 71,190 acres and 40% containment. Add a reported-area point at this report time; the report does not supply a mapped boundary.</t>
  </si>
  <si>
    <t>New: Reports 73,358 acres and 50% containment. Add a reported-area point at this report time; the report does not supply a mapped boundary.</t>
  </si>
  <si>
    <t>Infrared imagery + ground GPS</t>
  </si>
  <si>
    <t>New: Reports 76,980 acres and 50% containment. Add a reported-area point at this report time; the report does not supply a mapped boundary.</t>
  </si>
  <si>
    <t>New: Reports 80,370 acres and 50% containment. Add a reported-area point at this report time; the report does not supply a mapped boundary.</t>
  </si>
  <si>
    <t>New: Reports 81,450 acres and 50% containment. Add a reported-area point at this report time; the report does not supply a mapped boundary.</t>
  </si>
  <si>
    <t>New: Reports 86,030 acres and 50% containment. Add a reported-area point at this report time; the report does not supply a mapped boundary.</t>
  </si>
  <si>
    <t>New: Reports 87,818 acres and 50% containment. Add a reported-area point at this report time; the report does not supply a mapped boundary.</t>
  </si>
  <si>
    <t>New: Reports 88,755 acres and 50% containment. Add a reported-area point at this report time; the report does not supply a mapped boundary.</t>
  </si>
  <si>
    <t>New: Reports 96,469 acres and 47% containment. Add a reported-area point at this report time; the report does not supply a mapped boundary.</t>
  </si>
  <si>
    <t>Image interpretation (sensor unknown)</t>
  </si>
  <si>
    <t>New: Reports 100,367 acres and 40% containment. Add a reported-area point at this report time; the report does not supply a mapped boundary.</t>
  </si>
  <si>
    <t>New: Reports 101,922 acres and 38% containment. Add a reported-area point at this report time; the report does not supply a mapped boundary.</t>
  </si>
  <si>
    <t>New: Reports 102,746 acres and 53% containment. Add a reported-area point at this report time; the report does not supply a mapped boundary.</t>
  </si>
  <si>
    <t>New: Reports 104,263 acres and 58% containment. Add a reported-area point at this report time; the report does not supply a mapped boundary.</t>
  </si>
  <si>
    <t>New: Reports 105,475 acres and 58% containment. Add a reported-area point at this report time; the report does not supply a mapped boundary.</t>
  </si>
  <si>
    <t>New: Reports 109,594 acres and 55% containment. Add a reported-area point at this report time; the report does not supply a mapped boundary.</t>
  </si>
  <si>
    <t>Kingsmill et al. 2023, Fig. 1, pp. 4–5</t>
  </si>
  <si>
    <t>Observation: Aircraft infrared (NIROPS)</t>
  </si>
  <si>
    <t>New: Figure 1 labels a NIROPS boundary at 29 August 00:00 MDT. Retrieve that boundary to check the archive's 28 August 18:00 label; do not change the timestamp until the outlines are matched.</t>
  </si>
  <si>
    <t>Rodriguez et al. 2020, pp. 2–3 and Fig. 1</t>
  </si>
  <si>
    <t>New: Reports about 29,000 acres of growth during the rapid northeastward advance on 29 August. Annotate this growth event; 29,000 is added area, not total fire area. Retrieve the cited NIROPS boundaries for map updates.</t>
  </si>
  <si>
    <t>New: Reports 111,604 acres and 58% containment. Add a reported-area point at this report time; the report does not supply a mapped boundary.</t>
  </si>
  <si>
    <t>New: Figure 1 labels a NIROPS boundary at 30 August 00:16 MDT. Retrieve that boundary to check the archive's 29 August 18:16 label; the matching archive outline has not been established.</t>
  </si>
  <si>
    <t>New: Reports 140,780 acres and 58% containment. Add a reported-area point at this report time; the report does not supply a mapped boundary.</t>
  </si>
  <si>
    <t>New: Reports 157,393 acres and 52% containment. Add a reported-area point at this report time; the report does not supply a mapped boundary.</t>
  </si>
  <si>
    <t>New: Reports 164,895 acres and 52% containment. Add a reported-area point at this report time; the report does not supply a mapped boundary.</t>
  </si>
  <si>
    <t>New: Reports 179,977 acres and 55% containment. Add a reported-area point at this report time; the report does not supply a mapped boundary.</t>
  </si>
  <si>
    <t>New: Reports 180,300 acres and 55% containment. Add a reported-area point at this report time; the report does not supply a mapped boundary.</t>
  </si>
  <si>
    <t>New: Reports 181,065 acres and 55% containment. Add a reported-area point at this report time; the report does not supply a mapped boundary.</t>
  </si>
  <si>
    <t>New: Reports 181,145 acres and 56% containment. Add a reported-area point at this report time; the report does not supply a mapped boundary.</t>
  </si>
  <si>
    <t>USFS Pioneer Fire Inquiry 2016, PDF pp. 4, 8–12</t>
  </si>
  <si>
    <t>Suppression: Agency interviews</t>
  </si>
  <si>
    <t>New: Describes prior burn scars near Lowman, Rabbit Creek and Trapper Ridge, and a proposed Burns Ridge line relocation. Add mapped scar/line context only after obtaining GIS. 6 September is the visit date, not an operation date.</t>
  </si>
  <si>
    <t>New: Reports 181,174 acres and 56% containment. Add a reported-area point at this report time; the report does not supply a mapped boundary.</t>
  </si>
  <si>
    <t>New: Reports 181,297 acres and 56% containment. Add a reported-area point at this report time; the report does not supply a mapped boundary.</t>
  </si>
  <si>
    <t>New: Reports 181,574 acres and 56% containment. Add a reported-area point at this report time; the report does not supply a mapped boundary.</t>
  </si>
  <si>
    <t>New: Reports 182,445 acres and 56% containment. Add a reported-area point at this report time; the report does not supply a mapped boundary.</t>
  </si>
  <si>
    <t>NASA MODIS image caption, published 12 Sep 2016</t>
  </si>
  <si>
    <t>Observation: Aqua MODIS satellite imagery</t>
  </si>
  <si>
    <t>New: Aqua MODIS image was acquired on 10 September. Retrieve the geolocated image to show thermal detections and smoke. The 185,895-acre figure belongs to the 12 September report, not this image.</t>
  </si>
  <si>
    <t>New: Reports 183,508 acres and 56% containment. Add a reported-area point at this report time; the report does not supply a mapped boundary.</t>
  </si>
  <si>
    <t>New: Reports 184,376 acres and 56% containment. Add a reported-area point at this report time; the report does not supply a mapped boundary.</t>
  </si>
  <si>
    <t>Jenner / NASA 2016, report dated 12 Sep, p. 2</t>
  </si>
  <si>
    <t>Observation: Reported acreage (method unspecified)</t>
  </si>
  <si>
    <t>New: Reports 185,895 acres on 12 September. Add a reported-area point and compare with the archive's 184,455.98 acres at 14:49. The report does not supply a new boundary or exact measurement time.</t>
  </si>
  <si>
    <t>New: Reports 185,895 acres and 56% containment. Add a reported-area point at this report time; the report does not supply a mapped boundary.</t>
  </si>
  <si>
    <t>New: Reports 186,192 acres and 56% containment. Add a reported-area point at this report time; the report does not supply a mapped boundary.</t>
  </si>
  <si>
    <t>New: Reports 186,361 acres and 56% containment. Add a reported-area point at this report time; the report does not supply a mapped boundary.</t>
  </si>
  <si>
    <t>New: Reports 188,312 acres and 62% containment. Add a reported-area point at this report time; the report does not supply a mapped boundary.</t>
  </si>
  <si>
    <t>New: Reports 188,380 acres and 62% containment. Add a reported-area point at this report time; the report does not supply a mapped boundary.</t>
  </si>
  <si>
    <t>New: Reports 188,397 acres and 62% containment. Add a reported-area point at this report time; the report does not supply a mapped boundary.</t>
  </si>
  <si>
    <t>New: Reports 188,397 acres and 63% containment. Add a reported-area point at this report time; the report does not supply a mapped boundary.</t>
  </si>
  <si>
    <t>New: Reports 188,404 acres and 64% containment. Add a reported-area point at this report time; the report does not supply a mapped boundary.</t>
  </si>
  <si>
    <t>New: Reports 188,404 acres and 65% containment. Add a reported-area point at this report time; the report does not supply a mapped boundary.</t>
  </si>
  <si>
    <t>New: Reports 188,404 acres and 71% containment. Add a reported-area point at this report time; the report does not supply a mapped boundary.</t>
  </si>
  <si>
    <t>Yellow Pine Times / agency update, 29 Sep 2016</t>
  </si>
  <si>
    <t>New: Reports 188,404 acres, 71% containment and helicopter cooling of active burning. Add a report point after the last mapped outline; the 91.02-acre difference remains unresolved. No new boundary is supplied.</t>
  </si>
  <si>
    <t>New: Reports 188,404 acres and 85% containment. Add a reported-area point at this report time; the report does not supply a mapped boundary.</t>
  </si>
  <si>
    <t>Rodriguez 2020, p. 2; Clements 2018, p. 7</t>
  </si>
  <si>
    <t>Suppression: Published containment dates</t>
  </si>
  <si>
    <t>New: Rodriguez reports containment on 3 November; Clements gives 4 November. Annotate a 3–4 November containment interval. Neither supplies a new area or boundary for those dates.</t>
  </si>
  <si>
    <t>New: Reports 188,404 acres and 100% containment. Add a reported-area point at this report time; the report does not supply a mapped boundary.</t>
  </si>
  <si>
    <t>Local time / date
PDT (UTC−07:00)</t>
  </si>
  <si>
    <t>CAL FIRE / Solano OES 2021, pp. 3, 8</t>
  </si>
  <si>
    <t>Event: Agency chronology</t>
  </si>
  <si>
    <t>New: Describes multiple lightning ignitions on 16–17 August; Markley was human-caused. Mark the ignition interval and separate components; one common ignition time would be misleading.</t>
  </si>
  <si>
    <t>Farguell et al. 2021, p. 6; Liu et al. 2024, pp. 4, 11</t>
  </si>
  <si>
    <t>Observation: Aircraft infrared reference maps</t>
  </si>
  <si>
    <t>New: Studies compare 17–28 August fire spread with sparse agency infrared boundaries. Retrieve those original maps and acquisition times to check GOFER outlines. This row identifies a source, not a newly recovered boundary.</t>
  </si>
  <si>
    <t>GOFER v0.2 fireData metadata, GOESIg_UTC</t>
  </si>
  <si>
    <t>Event: Satellite-product reference time</t>
  </si>
  <si>
    <t>New: GOFER uses 06:00 PDT as its ignition reference; the first available outline is 09:00. Use this only to label the GOFER time axis; it is not a common observed ignition time for all components.</t>
  </si>
  <si>
    <t>CAL FIRE incident update, 1 Sep 2020, p. 1</t>
  </si>
  <si>
    <t>Event: Agency start-time record</t>
  </si>
  <si>
    <t>New: The bulletin lists the complex start as 06:40 PDT. Keep this administrative time separate from GOFER's 06:00 reference and the webpage's 08:00. No boundary is supplied at 06:40.</t>
  </si>
  <si>
    <t>CAL FIRE LNU incident webpage</t>
  </si>
  <si>
    <t>New: The incident webpage lists the complex start as 08:00 PDT. Retain the disagreement with the 06:40 bulletin and 06:00 GOFER reference when choosing the time-axis origin.</t>
  </si>
  <si>
    <t>GOFER-Combined v0.2</t>
  </si>
  <si>
    <t>GOES satellite reconstruction</t>
  </si>
  <si>
    <t>CAL FIRE / Solano OES 2021, p. 8</t>
  </si>
  <si>
    <t>Suppression: Agency chronology</t>
  </si>
  <si>
    <t>New: Hennessey, Markley, Green, 15-10, Spring and Quail reportedly merged during an overnight 12-mile run on 18–19 August. Annotate this interval and check whether plotted components join; exact merger time/outline is unavailable.</t>
  </si>
  <si>
    <t>FEDS 2020, object 3553, fid 307; Chen et al. 2022</t>
  </si>
  <si>
    <t>Reconstruction: VIIRS satellite reconstruction</t>
  </si>
  <si>
    <t>New: VIIRS reconstruction gives 3,651.90 acres for object 3553 in this AM bin. Match it to an LNU component before overlaying; this is not whole-complex area or an exact acquisition time.</t>
  </si>
  <si>
    <t>FEDS 2020, object 3568, fid 2187; Chen et al. 2022</t>
  </si>
  <si>
    <t>New: VIIRS reconstruction gives 69.77 acres for object 3568 in this AM bin. Match it to an LNU component before overlaying; this is not whole-complex area or an exact acquisition time.</t>
  </si>
  <si>
    <t>FEDS 2020, object 3553, fid 308; Chen et al. 2022</t>
  </si>
  <si>
    <t>New: VIIRS reconstruction gives 7,327.87 acres for object 3553 in this PM bin. Match it to an LNU component before overlaying; this is not whole-complex area or an exact acquisition time.</t>
  </si>
  <si>
    <t>FEDS 2020, object 3568, fid 2188; Chen et al. 2022</t>
  </si>
  <si>
    <t>New: VIIRS reconstruction gives 760.50 acres for object 3568 in this PM bin. Match it to an LNU component before overlaying; this is not whole-complex area or an exact acquisition time.</t>
  </si>
  <si>
    <t>FEDS 2020, object 3553, fid 309; Chen et al. 2022</t>
  </si>
  <si>
    <t>New: VIIRS reconstruction gives 41,602.29 acres for object 3553 in this AM bin. Match it to an LNU component before overlaying; this is not whole-complex area or an exact acquisition time.</t>
  </si>
  <si>
    <t>FEDS 2020, object 3568, fid 2189; Chen et al. 2022</t>
  </si>
  <si>
    <t>New: VIIRS reconstruction gives 9,882.05 acres for object 3568 in this AM bin. Match it to an LNU component before overlaying; this is not whole-complex area or an exact acquisition time.</t>
  </si>
  <si>
    <t>FEDS 2020, object 3609, fid 1961; Chen et al. 2022</t>
  </si>
  <si>
    <t>New: VIIRS reconstruction gives 2,214.11 acres for object 3609 in this AM bin. Match it to an LNU component before overlaying; this is not whole-complex area or an exact acquisition time.</t>
  </si>
  <si>
    <t>New: Reports 33,025 acres and 0% containment. Add a reported-area point at this report time; the report does not supply a mapped boundary.</t>
  </si>
  <si>
    <t>New: Reports 46,225 acres and 0% containment. Add a reported-area point at this report time; the report does not supply a mapped boundary.</t>
  </si>
  <si>
    <t>FEDS 2020, object 3553, fid 310; Chen et al. 2022</t>
  </si>
  <si>
    <t>New: VIIRS reconstruction gives 139,011.03 acres for object 3553 in this PM bin. Match it to an LNU component before overlaying; this is not whole-complex area or an exact acquisition time.</t>
  </si>
  <si>
    <t>FEDS 2020, object 3568, fid 2190; Chen et al. 2022</t>
  </si>
  <si>
    <t>New: VIIRS reconstruction gives 14,430.48 acres for object 3568 in this PM bin. Match it to an LNU component before overlaying; this is not whole-complex area or an exact acquisition time.</t>
  </si>
  <si>
    <t>FEDS 2020, object 3609, fid 1962; Chen et al. 2022</t>
  </si>
  <si>
    <t>New: VIIRS reconstruction gives 2,718.37 acres for object 3609 in this PM bin. Match it to an LNU component before overlaying; this is not whole-complex area or an exact acquisition time.</t>
  </si>
  <si>
    <t>New: Reports 124,100 acres and 0% containment. Add a reported-area point at this report time; the report does not supply a mapped boundary.</t>
  </si>
  <si>
    <t>FEDS 2020, object 3553, fid 311; Chen et al. 2022</t>
  </si>
  <si>
    <t>New: VIIRS reconstruction gives 184,107.72 acres for object 3553 in this AM bin. Match it to an LNU component before overlaying; this is not whole-complex area or an exact acquisition time.</t>
  </si>
  <si>
    <t>FEDS 2020, object 3568, fid 2191; Chen et al. 2022</t>
  </si>
  <si>
    <t>New: VIIRS reconstruction gives 33,555.76 acres for object 3568 in this AM bin. Match it to an LNU component before overlaying; this is not whole-complex area or an exact acquisition time.</t>
  </si>
  <si>
    <t>FEDS 2020, object 3609, fid 1963; Chen et al. 2022</t>
  </si>
  <si>
    <t>New: VIIRS reconstruction gives 2,858.36 acres for object 3609 in this AM bin. Match it to an LNU component before overlaying; this is not whole-complex area or an exact acquisition time.</t>
  </si>
  <si>
    <t>New: Reports 131,000 acres and 0% containment. Add a reported-area point at this report time; the report does not supply a mapped boundary.</t>
  </si>
  <si>
    <t>FEDS 2020, object 3553, fid 312; Chen et al. 2022</t>
  </si>
  <si>
    <t>New: VIIRS reconstruction gives 201,672.59 acres for object 3553 in this PM bin. Match it to an LNU component before overlaying; this is not whole-complex area or an exact acquisition time.</t>
  </si>
  <si>
    <t>FEDS 2020, object 3568, fid 2192; Chen et al. 2022</t>
  </si>
  <si>
    <t>New: VIIRS reconstruction gives 37,343.96 acres for object 3568 in this PM bin. Match it to an LNU component before overlaying; this is not whole-complex area or an exact acquisition time.</t>
  </si>
  <si>
    <t>FEDS 2020, object 3609, fid 1964; Chen et al. 2022</t>
  </si>
  <si>
    <t>New: VIIRS reconstruction gives 2,858.36 acres for object 3609 in this PM bin. Match it to an LNU component before overlaying; this is not whole-complex area or an exact acquisition time.</t>
  </si>
  <si>
    <t>New: Reports 215,000 acres and 0% containment. Add a reported-area point at this report time; the report does not supply a mapped boundary.</t>
  </si>
  <si>
    <t>FEDS 2020, object 3553, fid 313; Chen et al. 2022</t>
  </si>
  <si>
    <t>New: VIIRS reconstruction gives 216,666.77 acres for object 3553 in this AM bin. Match it to an LNU component before overlaying; this is not whole-complex area or an exact acquisition time.</t>
  </si>
  <si>
    <t>FEDS 2020, object 3568, fid 2193; Chen et al. 2022</t>
  </si>
  <si>
    <t>New: VIIRS reconstruction gives 44,692.73 acres for object 3568 in this AM bin. Match it to an LNU component before overlaying; this is not whole-complex area or an exact acquisition time.</t>
  </si>
  <si>
    <t>FEDS 2020, object 3609, fid 1965; Chen et al. 2022</t>
  </si>
  <si>
    <t>New: VIIRS reconstruction gives 2,890.01 acres for object 3609 in this AM bin. Match it to an LNU component before overlaying; this is not whole-complex area or an exact acquisition time.</t>
  </si>
  <si>
    <t>New: Reports 219,067 acres and 7% containment. Add a reported-area point at this report time; the report does not supply a mapped boundary.</t>
  </si>
  <si>
    <t>FEDS 2020, object 3553, fid 314; Chen et al. 2022</t>
  </si>
  <si>
    <t>New: VIIRS reconstruction gives 222,919.13 acres for object 3553 in this PM bin. Match it to an LNU component before overlaying; this is not whole-complex area or an exact acquisition time.</t>
  </si>
  <si>
    <t>FEDS 2020, object 3568, fid 2194; Chen et al. 2022</t>
  </si>
  <si>
    <t>New: VIIRS reconstruction gives 48,819.56 acres for object 3568 in this PM bin. Match it to an LNU component before overlaying; this is not whole-complex area or an exact acquisition time.</t>
  </si>
  <si>
    <t>FEDS 2020, object 3609, fid 1966; Chen et al. 2022</t>
  </si>
  <si>
    <t>New: VIIRS reconstruction gives 2,890.01 acres for object 3609 in this PM bin. Match it to an LNU component before overlaying; this is not whole-complex area or an exact acquisition time.</t>
  </si>
  <si>
    <t>New: Reports 302,388 acres and 15% containment. Add a reported-area point at this report time; the report does not supply a mapped boundary.</t>
  </si>
  <si>
    <t>FEDS 2020, object 3553, fid 315; Chen et al. 2022</t>
  </si>
  <si>
    <t>New: VIIRS reconstruction gives 282,575.76 acres for object 3553 in this AM bin. Match it to an LNU component before overlaying; this is not whole-complex area or an exact acquisition time.</t>
  </si>
  <si>
    <t>FEDS 2020, object 3568, fid 2195; Chen et al. 2022</t>
  </si>
  <si>
    <t>New: VIIRS reconstruction gives 50,436.40 acres for object 3568 in this AM bin. Match it to an LNU component before overlaying; this is not whole-complex area or an exact acquisition time.</t>
  </si>
  <si>
    <t>FEDS 2020, object 3609, fid 1967; Chen et al. 2022</t>
  </si>
  <si>
    <t>New: VIIRS reconstruction gives 2,900.88 acres for object 3609 in this AM bin. Match it to an LNU component before overlaying; this is not whole-complex area or an exact acquisition time.</t>
  </si>
  <si>
    <t>New: Reports 314,207 acres and 15% containment. Add a reported-area point at this report time; the report does not supply a mapped boundary.</t>
  </si>
  <si>
    <t>FEDS 2020, object 3553, fid 316; Chen et al. 2022</t>
  </si>
  <si>
    <t>New: VIIRS reconstruction gives 284,085.40 acres for object 3553 in this PM bin. Match it to an LNU component before overlaying; this is not whole-complex area or an exact acquisition time.</t>
  </si>
  <si>
    <t>FEDS 2020, object 3568, fid 2196; Chen et al. 2022</t>
  </si>
  <si>
    <t>New: VIIRS reconstruction gives 50,865.55 acres for object 3568 in this PM bin. Match it to an LNU component before overlaying; this is not whole-complex area or an exact acquisition time.</t>
  </si>
  <si>
    <t>New: Reports 325,128 acres and 15% containment. Add a reported-area point at this report time; the report does not supply a mapped boundary.</t>
  </si>
  <si>
    <t>FEDS 2020, object 3553, fid 317; Chen et al. 2022</t>
  </si>
  <si>
    <t>New: VIIRS reconstruction gives 288,167.18 acres for object 3553 in this AM bin. Match it to an LNU component before overlaying; this is not whole-complex area or an exact acquisition time.</t>
  </si>
  <si>
    <t>FEDS 2020, object 3568, fid 2197; Chen et al. 2022</t>
  </si>
  <si>
    <t>New: VIIRS reconstruction gives 52,147.59 acres for object 3568 in this AM bin. Match it to an LNU component before overlaying; this is not whole-complex area or an exact acquisition time.</t>
  </si>
  <si>
    <t>New: Reports 341,243 acres and 17% containment. Add a reported-area point at this report time; the report does not supply a mapped boundary.</t>
  </si>
  <si>
    <t>FEDS 2020, object 3553, fid 318; Chen et al. 2022</t>
  </si>
  <si>
    <t>New: VIIRS reconstruction gives 295,905.52 acres for object 3553 in this PM bin. Match it to an LNU component before overlaying; this is not whole-complex area or an exact acquisition time.</t>
  </si>
  <si>
    <t>FEDS 2020, object 3568, fid 2198; Chen et al. 2022</t>
  </si>
  <si>
    <t>New: VIIRS reconstruction gives 53,141.74 acres for object 3568 in this PM bin. Match it to an LNU component before overlaying; this is not whole-complex area or an exact acquisition time.</t>
  </si>
  <si>
    <t>New: Reports 347,630 acres and 21% containment. Add a reported-area point at this report time; the report does not supply a mapped boundary.</t>
  </si>
  <si>
    <t>FEDS 2020, object 3553, fid 319; Chen et al. 2022</t>
  </si>
  <si>
    <t>New: VIIRS reconstruction gives 296,559.80 acres for object 3553 in this AM bin. Match it to an LNU component before overlaying; this is not whole-complex area or an exact acquisition time.</t>
  </si>
  <si>
    <t>FEDS 2020, object 3568, fid 2199; Chen et al. 2022</t>
  </si>
  <si>
    <t>New: VIIRS reconstruction gives 53,640.56 acres for object 3568 in this AM bin. Match it to an LNU component before overlaying; this is not whole-complex area or an exact acquisition time.</t>
  </si>
  <si>
    <t>New: Reports 350,030 acres and 22% containment. Add a reported-area point at this report time; the report does not supply a mapped boundary.</t>
  </si>
  <si>
    <t>FEDS 2020, object 3553, fid 320; Chen et al. 2022</t>
  </si>
  <si>
    <t>New: VIIRS reconstruction gives 299,650.31 acres for object 3553 in this PM bin. Match it to an LNU component before overlaying; this is not whole-complex area or an exact acquisition time.</t>
  </si>
  <si>
    <t>FEDS 2020, object 3568, fid 2200; Chen et al. 2022</t>
  </si>
  <si>
    <t>New: VIIRS reconstruction gives 54,169.02 acres for object 3568 in this PM bin. Match it to an LNU component before overlaying; this is not whole-complex area or an exact acquisition time.</t>
  </si>
  <si>
    <t>New: Reports 351,817 acres and 25% containment. Add a reported-area point at this report time; the report does not supply a mapped boundary.</t>
  </si>
  <si>
    <t>FEDS 2020, object 3553, fid 321; Chen et al. 2022</t>
  </si>
  <si>
    <t>New: VIIRS reconstruction gives 303,266.64 acres for object 3553 in this AM bin. Match it to an LNU component before overlaying; this is not whole-complex area or an exact acquisition time.</t>
  </si>
  <si>
    <t>FEDS 2020, object 3568, fid 2201; Chen et al. 2022</t>
  </si>
  <si>
    <t>New: VIIRS reconstruction gives 56,453.09 acres for object 3568 in this AM bin. Match it to an LNU component before overlaying; this is not whole-complex area or an exact acquisition time.</t>
  </si>
  <si>
    <t>New: Reports 352,913 acres and 27% containment. Add a reported-area point at this report time; the report does not supply a mapped boundary.</t>
  </si>
  <si>
    <t>FEDS 2020, object 3553, fid 322; Chen et al. 2022</t>
  </si>
  <si>
    <t>New: VIIRS reconstruction gives 311,041.28 acres for object 3553 in this PM bin. Match it to an LNU component before overlaying; this is not whole-complex area or an exact acquisition time.</t>
  </si>
  <si>
    <t>FEDS 2020, object 3568, fid 2202; Chen et al. 2022</t>
  </si>
  <si>
    <t>New: VIIRS reconstruction gives 56,478.02 acres for object 3568 in this PM bin. Match it to an LNU component before overlaying; this is not whole-complex area or an exact acquisition time.</t>
  </si>
  <si>
    <t>New: Reports 356,326 acres and 27% containment. Add a reported-area point at this report time; the report does not supply a mapped boundary.</t>
  </si>
  <si>
    <t>FEDS 2020, object 3553, fid 323; Chen et al. 2022</t>
  </si>
  <si>
    <t>New: VIIRS reconstruction gives 313,013.45 acres for object 3553 in this AM bin. Match it to an LNU component before overlaying; this is not whole-complex area or an exact acquisition time.</t>
  </si>
  <si>
    <t>FEDS 2020, object 3568, fid 2203; Chen et al. 2022</t>
  </si>
  <si>
    <t>New: VIIRS reconstruction gives 57,197.75 acres for object 3568 in this AM bin. Match it to an LNU component before overlaying; this is not whole-complex area or an exact acquisition time.</t>
  </si>
  <si>
    <t>New: Reports 357,046 acres and 33% containment. Add a reported-area point at this report time; the report does not supply a mapped boundary.</t>
  </si>
  <si>
    <t>FEDS 2020, object 3553, fid 324; Chen et al. 2022</t>
  </si>
  <si>
    <t>New: VIIRS reconstruction gives 314,643.44 acres for object 3553 in this PM bin. Match it to an LNU component before overlaying; this is not whole-complex area or an exact acquisition time.</t>
  </si>
  <si>
    <t>FEDS 2020, object 3568, fid 2204; Chen et al. 2022</t>
  </si>
  <si>
    <t>New: VIIRS reconstruction gives 57,199.04 acres for object 3568 in this PM bin. Match it to an LNU component before overlaying; this is not whole-complex area or an exact acquisition time.</t>
  </si>
  <si>
    <t>New: Reports 360,868 acres and 33% containment. Add a reported-area point at this report time; the report does not supply a mapped boundary.</t>
  </si>
  <si>
    <t>FEDS 2020, object 3553, fid 325; Chen et al. 2022</t>
  </si>
  <si>
    <t>New: VIIRS reconstruction gives 320,486.34 acres for object 3553 in this AM bin. Match it to an LNU component before overlaying; this is not whole-complex area or an exact acquisition time.</t>
  </si>
  <si>
    <t>FEDS 2020, object 3568, fid 2205; Chen et al. 2022</t>
  </si>
  <si>
    <t>New: VIIRS reconstruction gives 57,201.94 acres for object 3568 in this AM bin. Match it to an LNU component before overlaying; this is not whole-complex area or an exact acquisition time.</t>
  </si>
  <si>
    <t>New: Reports 363,220 acres and 33% containment. Add a reported-area point at this report time; the report does not supply a mapped boundary.</t>
  </si>
  <si>
    <t>FEDS 2020, object 3553, fid 326; Chen et al. 2022</t>
  </si>
  <si>
    <t>New: VIIRS reconstruction gives 320,920.74 acres for object 3553 in this PM bin. Match it to an LNU component before overlaying; this is not whole-complex area or an exact acquisition time.</t>
  </si>
  <si>
    <t>FEDS 2020, object 3568, fid 2206; Chen et al. 2022</t>
  </si>
  <si>
    <t>New: VIIRS reconstruction gives 57,216.09 acres for object 3568 in this PM bin. Match it to an LNU component before overlaying; this is not whole-complex area or an exact acquisition time.</t>
  </si>
  <si>
    <t>New: Reports 363,220 acres and 35% containment. Add a reported-area point at this report time; the report does not supply a mapped boundary.</t>
  </si>
  <si>
    <t>CAL FIRE 20200828, polygon 1</t>
  </si>
  <si>
    <t>Observation: Mixed methods</t>
  </si>
  <si>
    <t>New: Archived polygon covers 2,360.25 acres. Compare its outline with the relevant LNU component after verifying identity. 28 August is the layer-name date; the acquisition-time fields are empty.</t>
  </si>
  <si>
    <t>CAL FIRE 20200828, polygon 2</t>
  </si>
  <si>
    <t>Observation: Infrared imagery (platform unknown)</t>
  </si>
  <si>
    <t>New: Archived polygon covers 55,313.35 acres. Compare its outline with the relevant LNU component after verifying identity. 28 August is the layer-name date; the acquisition-time fields are empty.</t>
  </si>
  <si>
    <t>CAL FIRE 20200828, polygon 3</t>
  </si>
  <si>
    <t>New: Archived polygon covers 312,255.03 acres. Compare its outline with the relevant LNU component after verifying identity. 28 August is the layer-name date; the acquisition-time fields are empty.</t>
  </si>
  <si>
    <t>FEDS 2020, object 3553, fid 327; Chen et al. 2022</t>
  </si>
  <si>
    <t>New: VIIRS reconstruction gives 322,349.58 acres for object 3553 in this AM bin. Match it to an LNU component before overlaying; this is not whole-complex area or an exact acquisition time.</t>
  </si>
  <si>
    <t>FEDS 2020, object 3568, fid 2207; Chen et al. 2022</t>
  </si>
  <si>
    <t>New: VIIRS reconstruction gives 57,216.09 acres for object 3568 in this AM bin. Match it to an LNU component before overlaying; this is not whole-complex area or an exact acquisition time.</t>
  </si>
  <si>
    <t>FEDS 2020, object 3553, fid 328; Chen et al. 2022</t>
  </si>
  <si>
    <t>New: VIIRS reconstruction gives 322,551.77 acres for object 3553 in this PM bin. Match it to an LNU component before overlaying; this is not whole-complex area or an exact acquisition time.</t>
  </si>
  <si>
    <t>FEDS 2020, object 3568, fid 2208; Chen et al. 2022</t>
  </si>
  <si>
    <t>New: VIIRS reconstruction gives 57,460.39 acres for object 3568 in this PM bin. Match it to an LNU component before overlaying; this is not whole-complex area or an exact acquisition time.</t>
  </si>
  <si>
    <t>FEDS 2020, object 3553, fid 329; Chen et al. 2022</t>
  </si>
  <si>
    <t>New: VIIRS reconstruction gives 323,668.64 acres for object 3553 in this AM bin. Match it to an LNU component before overlaying; this is not whole-complex area or an exact acquisition time.</t>
  </si>
  <si>
    <t>FEDS 2020, object 3568, fid 2209; Chen et al. 2022</t>
  </si>
  <si>
    <t>New: VIIRS reconstruction gives 57,752.06 acres for object 3568 in this AM bin. Match it to an LNU component before overlaying; this is not whole-complex area or an exact acquisition time.</t>
  </si>
  <si>
    <t>New: Reports 363,220 acres and 41% containment. Add a reported-area point at this report time; the report does not supply a mapped boundary.</t>
  </si>
  <si>
    <t>FEDS 2020, object 3553, fid 330; Chen et al. 2022</t>
  </si>
  <si>
    <t>New: VIIRS reconstruction gives 323,905.80 acres for object 3553 in this PM bin. Match it to an LNU component before overlaying; this is not whole-complex area or an exact acquisition time.</t>
  </si>
  <si>
    <t>New: Reports 363,220 acres and 55% containment. Add a reported-area point at this report time; the report does not supply a mapped boundary.</t>
  </si>
  <si>
    <t>FEDS 2020, object 3553, fid 331; Chen et al. 2022</t>
  </si>
  <si>
    <t>New: VIIRS reconstruction gives 323,905.80 acres for object 3553 in this AM bin. Match it to an LNU component before overlaying; this is not whole-complex area or an exact acquisition time.</t>
  </si>
  <si>
    <t>New: Reports 363,220 acres and 56% containment. Add a reported-area point at this report time; the report does not supply a mapped boundary.</t>
  </si>
  <si>
    <t>FEDS 2020, object 3553, fid 332; Chen et al. 2022</t>
  </si>
  <si>
    <t>New: Reports 363,220 acres and 58% containment. Add a reported-area point at this report time; the report does not supply a mapped boundary.</t>
  </si>
  <si>
    <t>FEDS 2020, object 3553, fid 333; Chen et al. 2022</t>
  </si>
  <si>
    <t>New: Reports 363,220 acres and 63% containment. Add a reported-area point at this report time; the report does not supply a mapped boundary.</t>
  </si>
  <si>
    <t>FEDS 2020, object 3553, fid 334; Chen et al. 2022</t>
  </si>
  <si>
    <t>New: Reports 363,220 acres and 66% containment. Add a reported-area point at this report time; the report does not supply a mapped boundary.</t>
  </si>
  <si>
    <t>FEDS 2020, object 3553, fid 335; Chen et al. 2022</t>
  </si>
  <si>
    <t>CAL FIRE 1 Sep 2020, p. 1: Hennessey component</t>
  </si>
  <si>
    <t>Observation: Agency report (method unspecified)</t>
  </si>
  <si>
    <t>New: Reports Hennessey at 317,909 acres at the 07:00 briefing. Add a Hennessey-only area point, not an LNU-total point. A corresponding mapped boundary is not supplied.</t>
  </si>
  <si>
    <t>CAL FIRE 1 Sep 2020, p. 1: Meyers component</t>
  </si>
  <si>
    <t>New: Reports Meyers at 2,360 acres at the 07:00 briefing. Add a Meyers-only area point, not an LNU-total point. A corresponding mapped boundary is not supplied.</t>
  </si>
  <si>
    <t>CAL FIRE 1 Sep 2020, p. 1: Walbridge component</t>
  </si>
  <si>
    <t>New: Reports Walbridge at 54,940 acres at the 07:00 briefing. Add a Walbridge-only area point, not an LNU-total point. A corresponding mapped boundary is not supplied.</t>
  </si>
  <si>
    <t>CAL FIRE 1 Sep 2020, p. 1: Whole complex</t>
  </si>
  <si>
    <t>New: Reports the whole complex at 375,209 acres and 69% containment at 07:00. Add an LNU-total report point after GOFER ends. Do not add the component rows again; no corresponding boundary is supplied.</t>
  </si>
  <si>
    <t>New: Reports 363,220 acres and 69% containment. Add a reported-area point at this report time; the report does not supply a mapped boundary.</t>
  </si>
  <si>
    <t>FEDS 2020, object 3553, fid 336; Chen et al. 2022</t>
  </si>
  <si>
    <t>New: Reports 363,220 acres and 74% containment. Add a reported-area point at this report time; the report does not supply a mapped boundary.</t>
  </si>
  <si>
    <t>New: Reports 363,220 acres and 76% containment. Add a reported-area point at this report time; the report does not supply a mapped boundary.</t>
  </si>
  <si>
    <t>New: Reports 363,220 acres and 78% containment. Add a reported-area point at this report time; the report does not supply a mapped boundary.</t>
  </si>
  <si>
    <t>Horton et al. 2024, Fig. 5, pp. 9–12, 22</t>
  </si>
  <si>
    <t>Observation: Aircraft radar (UAVSAR)</t>
  </si>
  <si>
    <t>New: UAVSAR observed Hennessey on 3 September and 14 October. Compare the radar images for vegetation change, excluding nearby Glass Fire. The paper uses one later comparison perimeter, not a separate 3 September outline.</t>
  </si>
  <si>
    <t>New: Reports 363,220 acres and 81% containment. Add a reported-area point at this report time; the report does not supply a mapped boundary.</t>
  </si>
  <si>
    <t>New: Reports 363,220 acres and 86% containment. Add a reported-area point at this report time; the report does not supply a mapped boundary.</t>
  </si>
  <si>
    <t>New: Reports 363,220 acres and 87% containment. Add a reported-area point at this report time; the report does not supply a mapped boundary.</t>
  </si>
  <si>
    <t>New: Reports 363,220 acres and 88% containment. Add a reported-area point at this report time; the report does not supply a mapped boundary.</t>
  </si>
  <si>
    <t>New: Reports 363,220 acres and 89% containment. Add a reported-area point at this report time; the report does not supply a mapped boundary.</t>
  </si>
  <si>
    <t>New: Reports 363,220 acres and 90% containment. Add a reported-area point at this report time; the report does not supply a mapped boundary.</t>
  </si>
  <si>
    <t>New: Reports 363,220 acres and 91% containment. Add a reported-area point at this report time; the report does not supply a mapped boundary.</t>
  </si>
  <si>
    <t>New: Reports 363,220 acres and 92% containment. Add a reported-area point at this report time; the report does not supply a mapped boundary.</t>
  </si>
  <si>
    <t>New: Reports 363,220 acres and 93% containment. Add a reported-area point at this report time; the report does not supply a mapped boundary.</t>
  </si>
  <si>
    <t>New: Reports 363,220 acres and 94% containment. Add a reported-area point at this report time; the report does not supply a mapped boundary.</t>
  </si>
  <si>
    <t>New: Reports 363,220 acres and 95% containment. Add a reported-area point at this report time; the report does not supply a mapped boundary.</t>
  </si>
  <si>
    <t>New: Reports 363,220 acres and 96% containment. Add a reported-area point at this report time; the report does not supply a mapped boundary.</t>
  </si>
  <si>
    <t>New: Reports 363,220 acres and 97% containment. Add a reported-area point at this report time; the report does not supply a mapped boundary.</t>
  </si>
  <si>
    <t>New: Reports 363,220 acres and 98% containment. Add a reported-area point at this report time; the report does not supply a mapped boundary.</t>
  </si>
  <si>
    <t>Larson 2020, pp. 1–2, citing CAL FIRE: Hennessey component</t>
  </si>
  <si>
    <t>Observation: Reported acreage (news quoting agency)</t>
  </si>
  <si>
    <t>New: Reports Hennessey at 305,651 acres on the evening of 16 September. Add a revised Hennessey-only report point and check future map coverage; exact time and boundary are unavailable.</t>
  </si>
  <si>
    <t>Larson 2020, pp. 1–2, citing CAL FIRE: Meyers component</t>
  </si>
  <si>
    <t>New: Reports Meyers at 2,360 acres on the evening of 16 September. Add a Meyers-only report point and check future map coverage; exact time and boundary are unavailable.</t>
  </si>
  <si>
    <t>Larson 2020, pp. 1–2, citing CAL FIRE: Walbridge component</t>
  </si>
  <si>
    <t>New: Reports Walbridge at 55,209 acres on the evening of 16 September. Add a revised Walbridge-only report point and check future map coverage; exact time and boundary are unavailable.</t>
  </si>
  <si>
    <t>Larson 2020, pp. 1–2, citing CAL FIRE: Whole complex</t>
  </si>
  <si>
    <t>New: Reports the whole complex at 363,220 acres and 98% containment on the evening of 16 September. Add a revised LNU-total report point. The decrease from 375,209 is an acreage revision, not physical fire shrinkage.</t>
  </si>
  <si>
    <t>New: Reports 363,220 acres and 100% containment. Add a reported-area point at this report time; the report does not supply a mapped boundary.</t>
  </si>
  <si>
    <t>Suppression: Agency final acreage / containment</t>
  </si>
  <si>
    <t>New: Lists full containment on 2 October at 10:38 and final area of 363,220 acres. Add a containment marker and final reported-area reference; this is not a perimeter acquisition at 10:38.</t>
  </si>
  <si>
    <t>New: The second Hennessey UAVSAR flight was on 14 October. Compare it with 3 September for vegetation change, masking Glass Fire. The paper's later comparison perimeter does not establish daily spread between flights.</t>
  </si>
  <si>
    <t>Scaduto et al. 2020, pp. 5105–5106; Fig. 4, p. 5108</t>
  </si>
  <si>
    <t>Reconstruction: MODIS / VIIRS reconstruction</t>
  </si>
  <si>
    <t>New: Figure 4 compares Carr progression reconstructed from MODIS/VIIRS with GeoMAC/NIROPS references. Retrieve the source boundaries for comparison. Its pre-04:00 records are assigned to the prior analysis day; preserve actual acquisition times.</t>
  </si>
  <si>
    <t>Wallingford et al. 2018, p. 59; Beckmann et al. 2025, p. 5</t>
  </si>
  <si>
    <t>Observation: Progression map / aircraft infrared</t>
  </si>
  <si>
    <t>New: The report maps progression through 17 August; Beckmann identifies nightly IR flights on 23 July–10 August except 7 and 9 August, generally 20:00–03:00 local. Retrieve original GIS/IR boundaries to fill map gaps.</t>
  </si>
  <si>
    <t>Hand sketch</t>
  </si>
  <si>
    <t>USFS Carr origin investigation, pp. 3, 6, 10</t>
  </si>
  <si>
    <t>Event: Investigator ignition estimate</t>
  </si>
  <si>
    <t>New: Investigators estimate ignition at 13:09 near Highway 299 northwest of Carr Powerhouse, with initial reporting around 13:10–13:11. Annotate ignition; check the archive's earlier 11:30 and 13:02 records against original maps.</t>
  </si>
  <si>
    <t>CAL FIRE Carr incident webpage</t>
  </si>
  <si>
    <t>New: CAL FIRE lists the administrative start as 13:15 PDT. Keep it separate from the investigator's 13:09 ignition estimate; no area or mapped boundary is supplied for 13:15.</t>
  </si>
  <si>
    <t>USFS Carr origin investigation, p. 10</t>
  </si>
  <si>
    <t>Observation: Aircraft visual estimate</t>
  </si>
  <si>
    <t>New: Air attack estimated 20 acres at 13:32. Add this early reported-area point and compare with the larger early archive values. The investigation supplies no corresponding mapped boundary.</t>
  </si>
  <si>
    <t>New: Reports 1,500 acres and 0% containment. Add a reported-area point at this report time; the report does not supply a mapped boundary.</t>
  </si>
  <si>
    <t>Marsha and Larkin 2022, Fig. 1B, pp. 3–6, 12–13</t>
  </si>
  <si>
    <t>Observation: GOES / MODIS / VIIRS hotspots</t>
  </si>
  <si>
    <t>New: Figure 1B shows Carr hotspots on 24 July from GOES-16, MODIS and VIIRS. Retrieve detections to check active locations between maps. These points are not a complete boundary; fitted area models use GeoMAC targets.</t>
  </si>
  <si>
    <t>New: Reports 2,500 acres and 5% containment. Add a reported-area point at this report time; the report does not supply a mapped boundary.</t>
  </si>
  <si>
    <t>Mixed methods</t>
  </si>
  <si>
    <t>New: Reports 3,126 acres and 24% containment. Add a reported-area point at this report time; the report does not supply a mapped boundary.</t>
  </si>
  <si>
    <t>National Park Service Carr timeline, p. 1</t>
  </si>
  <si>
    <t>Suppression: Agency suppression chronology</t>
  </si>
  <si>
    <t>New: Around 19:00, fire breached the dozer line near Merry Mountain and spread into Grizzly Gulch and Whiskey Creek. Annotate these locations within the mapping gap; exact breach/line geometry is unavailable.</t>
  </si>
  <si>
    <t>New: Reports 3,126 acres and 23% containment. Add a reported-area point at this report time; the report does not supply a mapped boundary.</t>
  </si>
  <si>
    <t>New: Reports 4,500 acres and 24% containment. Add a reported-area point at this report time; the report does not supply a mapped boundary.</t>
  </si>
  <si>
    <t>Other / unspecified</t>
  </si>
  <si>
    <t>New: Reports 6,773 acres and 10% containment. Add a reported-area point at this report time; the report does not supply a mapped boundary.</t>
  </si>
  <si>
    <t>NPS timeline, p. 1; CAL FIRE Green Sheet, p. 3</t>
  </si>
  <si>
    <t>New: Rapid growth began around 20:00; a Whiskey Creek fire whirl was reported near 22:00 and the park closed at 22:30. Annotate the 25–26 July overnight spread interval; a later run covered roughly 8 miles in 7 hours.</t>
  </si>
  <si>
    <t>New: Reports 20,000 acres and 10% containment. Add a reported-area point at this report time; the report does not supply a mapped boundary.</t>
  </si>
  <si>
    <t>CAL FIRE Green Sheet 2018, pp. 1–3</t>
  </si>
  <si>
    <t>Event: Agency chronology / weather</t>
  </si>
  <si>
    <t>New: Around 17:30 the fire ran eastward, with local spread reported at 2.5 mph and spotting over 1 mile. Annotate eastward advance and check the 14:00/17:34 outlines, whose areas decrease despite that advance.</t>
  </si>
  <si>
    <t>CAL FIRE Green Sheet 2018, pp. 10–11</t>
  </si>
  <si>
    <t>Event: Witness / incident chronology</t>
  </si>
  <si>
    <t>New: Spots appeared east of the Sacramento River around 19:17; fire approached Land Park/Stanford Hills at 19:23 and neighborhoods burned by 19:35. Annotate this place/time sequence; it does not define a complete boundary.</t>
  </si>
  <si>
    <t>Lareau et al. 2018, pp. 2–3</t>
  </si>
  <si>
    <t>Observation: Ground radar / satellite imagery</t>
  </si>
  <si>
    <t>New: Radar/satellite observations document the vortex at about 19:20–20:00 PDT. Add a vortex-monitoring interval alongside the river-crossing events. Plume/vortex observations do not locate the entire ground boundary; check the corrected supplement.</t>
  </si>
  <si>
    <t>New: Reports 28,763 acres and 6% containment. Add a reported-area point at this report time; the report does not supply a mapped boundary.</t>
  </si>
  <si>
    <t>New: Reports 28,763 acres and 10% containment. Add a reported-area point at this report time; the report does not supply a mapped boundary.</t>
  </si>
  <si>
    <t>National Park Service Carr timeline, pp. 1–2</t>
  </si>
  <si>
    <t>New: Reports spots south of Whiskeytown Lake and spread across Clear Creek toward Tower House on 27 July. Annotate these locations and compare with that day's outlines; exact crossing times are unavailable.</t>
  </si>
  <si>
    <t>New: Reports 44,450 acres and 3% containment. Add a reported-area point at this report time; the report does not supply a mapped boundary.</t>
  </si>
  <si>
    <t>New: Reports 48,312 acres and 5% containment. Add a reported-area point at this report time; the report does not supply a mapped boundary.</t>
  </si>
  <si>
    <t>New: Reports 80,906 acres and 5% containment. Add a reported-area point at this report time; the report does not supply a mapped boundary.</t>
  </si>
  <si>
    <t>New: Reports 83,800 acres and 5% containment. Add a reported-area point at this report time; the report does not supply a mapped boundary.</t>
  </si>
  <si>
    <t>New: Reports 89,194 acres and 5% containment. Add a reported-area point at this report time; the report does not supply a mapped boundary.</t>
  </si>
  <si>
    <t>New: Reports 95,368 acres and 17% containment. Add a reported-area point at this report time; the report does not supply a mapped boundary.</t>
  </si>
  <si>
    <t>New: Reports 98,724 acres and 20% containment. Add a reported-area point at this report time; the report does not supply a mapped boundary.</t>
  </si>
  <si>
    <t>New: Reports 103,772 acres and 23% containment. Add a reported-area point at this report time; the report does not supply a mapped boundary.</t>
  </si>
  <si>
    <t>New: Reports 110,154 acres and 27% containment. Add a reported-area point at this report time; the report does not supply a mapped boundary.</t>
  </si>
  <si>
    <t>New: Reports 112,888 acres and 30% containment. Add a reported-area point at this report time; the report does not supply a mapped boundary.</t>
  </si>
  <si>
    <t>New: Reports 115,538 acres and 35% containment. Add a reported-area point at this report time; the report does not supply a mapped boundary.</t>
  </si>
  <si>
    <t>New: Reports 121,049 acres and 35% containment. Add a reported-area point at this report time; the report does not supply a mapped boundary.</t>
  </si>
  <si>
    <t>New: Reports 125,842 acres and 35% containment. Add a reported-area point at this report time; the report does not supply a mapped boundary.</t>
  </si>
  <si>
    <t>New: Reports 126,913 acres and 37% containment. Add a reported-area point at this report time; the report does not supply a mapped boundary.</t>
  </si>
  <si>
    <t>New: Reports 131,896 acres and 39% containment. Add a reported-area point at this report time; the report does not supply a mapped boundary.</t>
  </si>
  <si>
    <t>New: Reports 133,924 acres and 39% containment. Add a reported-area point at this report time; the report does not supply a mapped boundary.</t>
  </si>
  <si>
    <t>New: Reports 141,825 acres and 41% containment. Add a reported-area point at this report time; the report does not supply a mapped boundary.</t>
  </si>
  <si>
    <t>New: Reports 145,015 acres and 41% containment. Add a reported-area point at this report time; the report does not supply a mapped boundary.</t>
  </si>
  <si>
    <t>New: Reports 154,524 acres and 41% containment. Add a reported-area point at this report time; the report does not supply a mapped boundary.</t>
  </si>
  <si>
    <t>New: Reports 160,049 acres and 43% containment. Add a reported-area point at this report time; the report does not supply a mapped boundary.</t>
  </si>
  <si>
    <t>New: Reports 163,207 acres and 45% containment. Add a reported-area point at this report time; the report does not supply a mapped boundary.</t>
  </si>
  <si>
    <t>New: Reports 164,413 acres and 47% containment. Add a reported-area point at this report time; the report does not supply a mapped boundary.</t>
  </si>
  <si>
    <t>New: Reports 167,113 acres and 47% containment. Add a reported-area point at this report time; the report does not supply a mapped boundary.</t>
  </si>
  <si>
    <t>New: Reports 172,055 acres and 47% containment. Add a reported-area point at this report time; the report does not supply a mapped boundary.</t>
  </si>
  <si>
    <t>New: Reports 173,522 acres and 47% containment. Add a reported-area point at this report time; the report does not supply a mapped boundary.</t>
  </si>
  <si>
    <t>New: Reports 176,069 acres and 47% containment. Add a reported-area point at this report time; the report does not supply a mapped boundary.</t>
  </si>
  <si>
    <t>New: Reports 177,450 acres and 48% containment. Add a reported-area point at this report time; the report does not supply a mapped boundary.</t>
  </si>
  <si>
    <t>New: Reports 178,752 acres and 49% containment. Add a reported-area point at this report time; the report does not supply a mapped boundary.</t>
  </si>
  <si>
    <t>New: Reports 181,496 acres and 51% containment. Add a reported-area point at this report time; the report does not supply a mapped boundary.</t>
  </si>
  <si>
    <t>New: Reports 183,633 acres and 53% containment. Add a reported-area point at this report time; the report does not supply a mapped boundary.</t>
  </si>
  <si>
    <t>New: Reports 186,416 acres and 55% containment. Add a reported-area point at this report time; the report does not supply a mapped boundary.</t>
  </si>
  <si>
    <t>New: Reports 190,873 acres and 57% containment. Add a reported-area point at this report time; the report does not supply a mapped boundary.</t>
  </si>
  <si>
    <t>New: Reports 191,211 acres and 59% containment. Add a reported-area point at this report time; the report does not supply a mapped boundary.</t>
  </si>
  <si>
    <t>New: Reports 202,976 acres and 61% containment. Add a reported-area point at this report time; the report does not supply a mapped boundary.</t>
  </si>
  <si>
    <t>New: Reports 206,816 acres and 63% containment. Add a reported-area point at this report time; the report does not supply a mapped boundary.</t>
  </si>
  <si>
    <t>New: Reports 207,162 acres and 65% containment. Add a reported-area point at this report time; the report does not supply a mapped boundary.</t>
  </si>
  <si>
    <t>New: Reports 211,019 acres and 65% containment. Add a reported-area point at this report time; the report does not supply a mapped boundary.</t>
  </si>
  <si>
    <t>New: Reports 211,038 acres and 67% containment. Add a reported-area point at this report time; the report does not supply a mapped boundary.</t>
  </si>
  <si>
    <t>New: Reports 214,527 acres and 69% containment. Add a reported-area point at this report time; the report does not supply a mapped boundary.</t>
  </si>
  <si>
    <t>New: Reports 214,527 acres and 71% containment. Add a reported-area point at this report time; the report does not supply a mapped boundary.</t>
  </si>
  <si>
    <t>New: Reports 215,368 acres and 72% containment. Add a reported-area point at this report time; the report does not supply a mapped boundary.</t>
  </si>
  <si>
    <t>New: Reports 218,598 acres and 75% containment. Add a reported-area point at this report time; the report does not supply a mapped boundary.</t>
  </si>
  <si>
    <t>New: Reports 223,610 acres and 77% containment. Add a reported-area point at this report time; the report does not supply a mapped boundary.</t>
  </si>
  <si>
    <t>New: Reports 224,099 acres and 79% containment. Add a reported-area point at this report time; the report does not supply a mapped boundary.</t>
  </si>
  <si>
    <t>New: Reports 227,085 acres and 81% containment. Add a reported-area point at this report time; the report does not supply a mapped boundary.</t>
  </si>
  <si>
    <t>National Park Service Carr timeline, p. 2</t>
  </si>
  <si>
    <t>Suppression: Agency status report</t>
  </si>
  <si>
    <t>New: Whiskeytown shifted to recovery on 19 August while the wider fire was 83% contained. Add a park-recovery annotation; this does not show that the whole perimeter stopped spreading.</t>
  </si>
  <si>
    <t>New: Reports 227,098 acres and 83% containment. Add a reported-area point at this report time; the report does not supply a mapped boundary.</t>
  </si>
  <si>
    <t>New: Reports 227,098 acres and 85% containment. Add a reported-area point at this report time; the report does not supply a mapped boundary.</t>
  </si>
  <si>
    <t>New: Reports 229,651 acres and 88% containment. Add a reported-area point at this report time; the report does not supply a mapped boundary.</t>
  </si>
  <si>
    <t>New: Reports 229,651 acres and 90% containment. Add a reported-area point at this report time; the report does not supply a mapped boundary.</t>
  </si>
  <si>
    <t>New: Reports 229,651 acres and 91% containment. Add a reported-area point at this report time; the report does not supply a mapped boundary.</t>
  </si>
  <si>
    <t>New: Reports 229,651 acres and 93% containment. Add a reported-area point at this report time; the report does not supply a mapped boundary.</t>
  </si>
  <si>
    <t>New: Reports 229,651 acres and 94% containment. Add a reported-area point at this report time; the report does not supply a mapped boundary.</t>
  </si>
  <si>
    <t>New: Reports 229,651 acres and 95% containment. Add a reported-area point at this report time; the report does not supply a mapped boundary.</t>
  </si>
  <si>
    <t>New: Reports 229,651 acres and 96% containment. Add a reported-area point at this report time; the report does not supply a mapped boundary.</t>
  </si>
  <si>
    <t>New: Reports 229,651 acres and 97% containment. Add a reported-area point at this report time; the report does not supply a mapped boundary.</t>
  </si>
  <si>
    <t>New: Reports 229,651 acres and 98% containment. Add a reported-area point at this report time; the report does not supply a mapped boundary.</t>
  </si>
  <si>
    <t>New: Lists full containment on 30 August at 09:37 and final area of 229,651 acres. Add the containment marker; retain the separate 31 August 00:54 mapped outline (229,651.40 acres).</t>
  </si>
  <si>
    <t>New: Reports 229,651 acres and 100% containment. Add a reported-area point at this report time; the report does not supply a mapped boundary.</t>
  </si>
  <si>
    <t>Chen et al. 2022; downloaded FEDS 2018 object 2563</t>
  </si>
  <si>
    <t>New: FEDS object 2563 spans 20 July–29 September and extends beyond Carr. Do not use its area or boundary for Carr until merged events are separated and identity is verified; it begins before Carr's ignition.</t>
  </si>
  <si>
    <t>Gannon et al. 2020, pp. 3–8, Table 1</t>
  </si>
  <si>
    <t>Observation: Field-mapped suppression lines</t>
  </si>
  <si>
    <t>New: Carr firelines include 192.3 km burned over, 135.9 km held and 262.0 km unengaged. Obtain operational GIS to overlay these suppression lines. These are line lengths, not acres; construction times are unavailable.</t>
  </si>
  <si>
    <t>Rivera et al. 2026, pp. 8–12, 17–21</t>
  </si>
  <si>
    <t>Observation: ECOSTRESS / VIIRS thermal imagery</t>
  </si>
  <si>
    <t>New: The paper analyzes 20 Carr ECOSTRESS thermal scenes at 70 m resolution. Retrieve scene dates and geolocated thermal data for active-fire overlays. The PDF is available, but individual acquisition times/data files still need verification.</t>
  </si>
  <si>
    <t>Fire</t>
  </si>
  <si>
    <t>Reference name</t>
  </si>
  <si>
    <t>Link</t>
  </si>
  <si>
    <t>Pioneer</t>
  </si>
  <si>
    <t>Clements et al. (2018). The Rapid Deployments to Wildfires Experiment (RaDFIRE): Observations from the Fire Zone</t>
  </si>
  <si>
    <t>https://repository.library.noaa.gov/view/noaa/26432</t>
  </si>
  <si>
    <t>Gabbert (2016). USFS Regional Fire Director Describes the Management of the Pioneer Fire</t>
  </si>
  <si>
    <t>https://wildfiretoday.com/usfs-regional-fire-director-describes-the-management-of-the-pioneer-fire/</t>
  </si>
  <si>
    <t>Hyde and Strand (2019). Comparing Modeled Emissions from Wildfire and Prescribed Burning of Post-Thinning Fuel: A Case Study of the 2016 Pioneer Fire</t>
  </si>
  <si>
    <t>https://doi.org/10.3390/fire2020022</t>
  </si>
  <si>
    <t>ICS-209-PLUS, version 3 — Incident situation reports</t>
  </si>
  <si>
    <t>https://doi.org/10.6084/m9.figshare.19858927.v3</t>
  </si>
  <si>
    <t>Jenner (2016). Pioneer Fire and Maple Fire Burning Still</t>
  </si>
  <si>
    <t>https://www.nasa.gov/image-article/pioneer-fire-maple-fire-burning-still/</t>
  </si>
  <si>
    <t>Kingsmill et al. (2023). In situ microphysics observations of intense pyroconvection from a large wildfire</t>
  </si>
  <si>
    <t>https://doi.org/10.5194/acp-23-1-2023</t>
  </si>
  <si>
    <t>NIFC / USGS — Historic GeoMAC Fire Perimeters (2016)</t>
  </si>
  <si>
    <t>https://services3.arcgis.com/T4QMspbfLg3qTGWY/arcgis/rest/services/Historic_Geomac_Perimeters_2016/FeatureServer/0</t>
  </si>
  <si>
    <t>NIFC Open Data portal</t>
  </si>
  <si>
    <t>https://data-nifc.opendata.arcgis.com/</t>
  </si>
  <si>
    <t>Rodriguez et al. (2020). Extreme Pyroconvective Updrafts During a Megafire</t>
  </si>
  <si>
    <t>https://doi.org/10.1029/2020GL089001</t>
  </si>
  <si>
    <t>The Yellow Pine Times (2016). Fire Update Aug 1</t>
  </si>
  <si>
    <t>https://yellowpinetimes.wordpress.com/2016/08/01/fire-update-aug-1/</t>
  </si>
  <si>
    <t>The Yellow Pine Times (2016). Fire Update Sept 29</t>
  </si>
  <si>
    <t>https://yellowpinetimes.wordpress.com/2016/09/29/fire-update-sept-29/</t>
  </si>
  <si>
    <t>https://www.frames.gov/documents/catalog/calkin_et_al_2016_PioneerFireInquiry.pdf</t>
  </si>
  <si>
    <t>LNU</t>
  </si>
  <si>
    <t>CAL FIRE (2020). LNU Lightning Complex Incident Update - September 1, 2020, 7 AM</t>
  </si>
  <si>
    <t>https://assets1.cbsnewsstatic.com/i/cbslocal/wp-content/uploads/sites/15116056/2020/09/LNU-Lightning-Complex-Incident-Update-9.1.2020-7AM.pdf</t>
  </si>
  <si>
    <t>CAL FIRE (2023). LNU Lightning Complex</t>
  </si>
  <si>
    <t>https://www.fire.ca.gov/incidents/2020/8/17/lnu-lightning-complex</t>
  </si>
  <si>
    <t>CAL FIRE and Solano County OES (2021). CAL FIRE Sonoma-Lake-Napa Unit (LNU) Lightning Complex Fire Recovery Update</t>
  </si>
  <si>
    <t>https://solano.legistar.com/View.ashx?GUID=799ECBBD-7436-4FA7-89B8-A2B43E740ABA&amp;ID=9448423&amp;M=F</t>
  </si>
  <si>
    <t>CAL FIRE — LNU Complex Perimeter, archived layer 20200828</t>
  </si>
  <si>
    <t>https://services1.arcgis.com/jUJYIo9tSA7EHvfZ/arcgis/rest/services/LNU_Complex_Perimeter_20200828/FeatureServer/0</t>
  </si>
  <si>
    <t>Chen et al. (2022). California wildfire spread derived using VIIRS satellite observations and an object-based tracking system</t>
  </si>
  <si>
    <t>https://doi.org/10.1038/s41597-022-01343-0</t>
  </si>
  <si>
    <t>Chen et al. — Fire Event Data Suite (FEDS), VIIRS perimeter dataset</t>
  </si>
  <si>
    <t>https://doi.org/10.6084/m9.figshare.c.5601537.v1</t>
  </si>
  <si>
    <t>Farguell et al. (2021). Machine Learning Estimation of Fire Arrival Time from Level-2 Active Fires Satellite Data</t>
  </si>
  <si>
    <t>https://www.mdpi.com/2072-4292/13/11/2203</t>
  </si>
  <si>
    <t>Horton et al. (2024). Wildfire Threshold Detection and Progression Monitoring Using an Improved Radar Vegetation Index in California</t>
  </si>
  <si>
    <t>https://doi.org/10.3390/rs16163050</t>
  </si>
  <si>
    <t>Larson (2020). Officials - LNU Lightning Complex Expected to Be Fully Contained at Start of October</t>
  </si>
  <si>
    <t>https://lakeconews.com/news/66725-officials-lnu-lightning-complex-expected-to-be-fully-contained-at-start-of-october</t>
  </si>
  <si>
    <t>Liu et al. (2024). Systematically Tracking the Hourly Progression of Large Wildfires Using GOES Satellite Observations</t>
  </si>
  <si>
    <t>https://essd.copernicus.org/articles/16/1395/2024/</t>
  </si>
  <si>
    <t>Liu et al. — GOES-Observed Fire Event Representation (GOFER), v0.2 dataset</t>
  </si>
  <si>
    <t>https://doi.org/10.5281/zenodo.14642378</t>
  </si>
  <si>
    <t>Carr</t>
  </si>
  <si>
    <t>Beckmann et al. (2025). Recent Large-Scale Prescribed Fire Treatments Reduced Carr Fire Severity at Whiskeytown National Recreation Area</t>
  </si>
  <si>
    <t>https://doi.org/10.1186/s42408-025-00377-0</t>
  </si>
  <si>
    <t>CAL FIRE (2018). Green Sheet: Burn Over Fatalities, July 26, 2018, Carr Incident</t>
  </si>
  <si>
    <t>https://lessons.wildfire.gov/incident/carr-fire-entrapment-fatalities-2018</t>
  </si>
  <si>
    <t>CAL FIRE (2022). Carr Fire</t>
  </si>
  <si>
    <t>https://www.fire.ca.gov/incidents/2018/7/23/carr-fire</t>
  </si>
  <si>
    <t>Gannon et al. (2020). A Geospatial Framework to Assess Fireline Effectiveness for Large Wildfires in the Western USA</t>
  </si>
  <si>
    <t>https://doi.org/10.3390/fire3030043</t>
  </si>
  <si>
    <t>Lareau et al. (2018). The Carr Fire Vortex: A Case of Pyrotornadogenesis?</t>
  </si>
  <si>
    <t>https://doi.org/10.1029/2018GL080667</t>
  </si>
  <si>
    <t>Marsha and Larkin (2022). Evaluating Satellite Fire Detection Products and an Ensemble Approach for Estimating Burned Area in the United States</t>
  </si>
  <si>
    <t>https://doi.org/10.3390/fire5050147</t>
  </si>
  <si>
    <t>National Park Service (2020). Timeline of the Carr Fire</t>
  </si>
  <si>
    <t>https://www.nps.gov/whis/carr-fire-timeline.htm</t>
  </si>
  <si>
    <t>NIFC / USGS — Historic GeoMAC Fire Perimeters (2018)</t>
  </si>
  <si>
    <t>https://services3.arcgis.com/T4QMspbfLg3qTGWY/arcgis/rest/services/Historic_Geomac_Perimeters_2018/FeatureServer/0</t>
  </si>
  <si>
    <t>Rivera et al. (2026). Characterizing wildfire behavior with ECOSTRESS land surface temperature across four California case studies</t>
  </si>
  <si>
    <t>https://doi.org/10.1016/j.ecoinf.2026.103777</t>
  </si>
  <si>
    <t>Scaduto et al. (2020). Satellite-Based Fire Progression Mapping: A Comprehensive Assessment for Large Fires in Northern California</t>
  </si>
  <si>
    <t>https://doi.org/10.1109/JSTARS.2020.3019261</t>
  </si>
  <si>
    <t>USDA Forest Service (2021). Carr Fire Origin and Cause Investigation Report</t>
  </si>
  <si>
    <t>https://www.nps.gov/aboutus/foia/upload/Carr-Fire-Origin-and-Cause-Report-2-23-21_Redacted-w-cover.zip</t>
  </si>
  <si>
    <t>Wallingford et al. (2018). Carr Incident Damage Inspection Report</t>
  </si>
  <si>
    <t>https://www.nps.gov/aboutus/foia/upload/Carr-Incident-Damage-Inspection-Report_508.zip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</si>
</sst>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\ &quot;MDT&quot;"/>
    <numFmt numFmtId="165" formatCode="yyyy\-mm\-dd\ &quot;date only&quot;"/>
    <numFmt numFmtId="166" formatCode="yyyy\-mm\-dd\ hh:mm\ &quot;PDT&quot;"/>
    <numFmt numFmtId="167" formatCode="yyyy\-mm\-dd\ &quot;AM local bin&quot;"/>
    <numFmt numFmtId="168" formatCode="yyyy\-mm\-dd\ &quot;PM local bin&quot;"/>
    <numFmt numFmtId="169" formatCode="yyyy\-mm\-dd\ &quot;layer date&quot;"/>
  </numFmts>
  <fonts count="5">
    <font>
      <sz val="11"/>
      <name val="Carlito"/>
    </font>
    <font>
      <sz val="10"/>
      <color rgb="FF202D3A"/>
      <name val="Arial"/>
    </font>
    <font>
      <b/>
      <sz val="10"/>
      <color rgb="FF202020"/>
      <name val="Arial"/>
    </font>
    <font>
      <sz val="10"/>
      <color rgb="FF175A8A"/>
      <name val="Arial"/>
    </font>
    <font>
      <sz val="10"/>
      <color rgb="FF20202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oneerRecords" displayName="PioneerRecords" ref="A1:E183" totalsRowShown="0" headerRowDxfId="24" dataDxfId="23">
  <autoFilter ref="A1:E183" xr:uid="{00000000-0009-0000-0100-000001000000}"/>
  <tableColumns count="5">
    <tableColumn id="1" xr3:uid="{00000000-0010-0000-0000-000001000000}" name="Local time / date_x000a_MDT (UTC−06:00)" dataDxfId="22"/>
    <tableColumn id="2" xr3:uid="{00000000-0010-0000-0000-000002000000}" name="Area (acres)" dataDxfId="21"/>
    <tableColumn id="3" xr3:uid="{00000000-0010-0000-0000-000003000000}" name="Source" dataDxfId="20"/>
    <tableColumn id="4" xr3:uid="{00000000-0010-0000-0000-000004000000}" name="Data type" dataDxfId="19"/>
    <tableColumn id="5" xr3:uid="{00000000-0010-0000-0000-000005000000}" name="Comment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NURecords" displayName="LNURecords" ref="A1:E412" totalsRowShown="0" headerRowDxfId="14" dataDxfId="13">
  <autoFilter ref="A1:E412" xr:uid="{00000000-0009-0000-0100-000002000000}"/>
  <tableColumns count="5">
    <tableColumn id="1" xr3:uid="{00000000-0010-0000-0100-000001000000}" name="Local time / date_x000a_PDT (UTC−07:00)" dataDxfId="17"/>
    <tableColumn id="2" xr3:uid="{00000000-0010-0000-0100-000002000000}" name="Area (acres)" dataDxfId="16"/>
    <tableColumn id="3" xr3:uid="{00000000-0010-0000-0100-000003000000}" name="Source" dataDxfId="15"/>
    <tableColumn id="4" xr3:uid="{00000000-0010-0000-0100-000004000000}" name="Data type" dataDxfId="12"/>
    <tableColumn id="5" xr3:uid="{00000000-0010-0000-0100-000005000000}" name="Comment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rrRecords" displayName="CarrRecords" ref="A1:E160" totalsRowShown="0" headerRowDxfId="7" dataDxfId="6">
  <autoFilter ref="A1:E160" xr:uid="{00000000-0009-0000-0100-000003000000}"/>
  <tableColumns count="5">
    <tableColumn id="1" xr3:uid="{00000000-0010-0000-0200-000001000000}" name="Local time / date_x000a_PDT (UTC−07:00)" dataDxfId="10"/>
    <tableColumn id="2" xr3:uid="{00000000-0010-0000-0200-000002000000}" name="Area (acres)" dataDxfId="9"/>
    <tableColumn id="3" xr3:uid="{00000000-0010-0000-0200-000003000000}" name="Source" dataDxfId="8"/>
    <tableColumn id="4" xr3:uid="{00000000-0010-0000-0200-000004000000}" name="Data type" dataDxfId="5"/>
    <tableColumn id="5" xr3:uid="{00000000-0010-0000-0200-000005000000}" name="Comment" dataDxfId="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reReferences" displayName="FireReferences" ref="A1:C40" totalsRowShown="0" headerRowDxfId="0">
  <autoFilter ref="A1:C40" xr:uid="{00000000-0009-0000-0100-000004000000}"/>
  <tableColumns count="3">
    <tableColumn id="1" xr3:uid="{00000000-0010-0000-0300-000001000000}" name="Fire" dataDxfId="3"/>
    <tableColumn id="2" xr3:uid="{00000000-0010-0000-0300-000002000000}" name="Reference name" dataDxfId="2"/>
    <tableColumn id="3" xr3:uid="{00000000-0010-0000-0300-000003000000}" name="Link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es3.arcgis.com/T4QMspbfLg3qTGWY/arcgis/rest/services/Historic_Geomac_Perimeters_2016/FeatureServer/0/query?objectIds=2823&amp;outFields=%2A&amp;returnGeometry=false&amp;f=pjson" TargetMode="External"/><Relationship Id="rId21" Type="http://schemas.openxmlformats.org/officeDocument/2006/relationships/hyperlink" Target="https://doi.org/10.6084/m9.figshare.19858927.v3" TargetMode="External"/><Relationship Id="rId42" Type="http://schemas.openxmlformats.org/officeDocument/2006/relationships/hyperlink" Target="https://services3.arcgis.com/T4QMspbfLg3qTGWY/arcgis/rest/services/Historic_Geomac_Perimeters_2016/FeatureServer/0/query?objectIds=1627&amp;outFields=%2A&amp;returnGeometry=false&amp;f=pjson" TargetMode="External"/><Relationship Id="rId63" Type="http://schemas.openxmlformats.org/officeDocument/2006/relationships/hyperlink" Target="https://doi.org/10.6084/m9.figshare.19858927.v3" TargetMode="External"/><Relationship Id="rId84" Type="http://schemas.openxmlformats.org/officeDocument/2006/relationships/hyperlink" Target="https://services3.arcgis.com/T4QMspbfLg3qTGWY/arcgis/rest/services/Historic_Geomac_Perimeters_2016/FeatureServer/0/query?objectIds=2573&amp;outFields=%2A&amp;returnGeometry=false&amp;f=pjson" TargetMode="External"/><Relationship Id="rId138" Type="http://schemas.openxmlformats.org/officeDocument/2006/relationships/hyperlink" Target="https://doi.org/10.6084/m9.figshare.19858927.v3" TargetMode="External"/><Relationship Id="rId159" Type="http://schemas.openxmlformats.org/officeDocument/2006/relationships/hyperlink" Target="https://doi.org/10.6084/m9.figshare.19858927.v3" TargetMode="External"/><Relationship Id="rId170" Type="http://schemas.openxmlformats.org/officeDocument/2006/relationships/hyperlink" Target="https://doi.org/10.6084/m9.figshare.19858927.v3" TargetMode="External"/><Relationship Id="rId107" Type="http://schemas.openxmlformats.org/officeDocument/2006/relationships/hyperlink" Target="https://doi.org/10.5194/acp-23-1-2023" TargetMode="External"/><Relationship Id="rId11" Type="http://schemas.openxmlformats.org/officeDocument/2006/relationships/hyperlink" Target="https://doi.org/10.6084/m9.figshare.19858927.v3" TargetMode="External"/><Relationship Id="rId32" Type="http://schemas.openxmlformats.org/officeDocument/2006/relationships/hyperlink" Target="https://doi.org/10.6084/m9.figshare.19858927.v3" TargetMode="External"/><Relationship Id="rId53" Type="http://schemas.openxmlformats.org/officeDocument/2006/relationships/hyperlink" Target="https://services3.arcgis.com/T4QMspbfLg3qTGWY/arcgis/rest/services/Historic_Geomac_Perimeters_2016/FeatureServer/0/query?objectIds=2254&amp;outFields=%2A&amp;returnGeometry=false&amp;f=pjson" TargetMode="External"/><Relationship Id="rId74" Type="http://schemas.openxmlformats.org/officeDocument/2006/relationships/hyperlink" Target="https://services3.arcgis.com/T4QMspbfLg3qTGWY/arcgis/rest/services/Historic_Geomac_Perimeters_2016/FeatureServer/0/query?objectIds=183&amp;outFields=%2A&amp;returnGeometry=false&amp;f=pjson" TargetMode="External"/><Relationship Id="rId128" Type="http://schemas.openxmlformats.org/officeDocument/2006/relationships/hyperlink" Target="https://doi.org/10.6084/m9.figshare.19858927.v3" TargetMode="External"/><Relationship Id="rId149" Type="http://schemas.openxmlformats.org/officeDocument/2006/relationships/hyperlink" Target="https://services3.arcgis.com/T4QMspbfLg3qTGWY/arcgis/rest/services/Historic_Geomac_Perimeters_2016/FeatureServer/0/query?objectIds=3043&amp;outFields=%2A&amp;returnGeometry=false&amp;f=pjson" TargetMode="External"/><Relationship Id="rId5" Type="http://schemas.openxmlformats.org/officeDocument/2006/relationships/hyperlink" Target="https://doi.org/10.6084/m9.figshare.19858927.v3" TargetMode="External"/><Relationship Id="rId95" Type="http://schemas.openxmlformats.org/officeDocument/2006/relationships/hyperlink" Target="https://doi.org/10.6084/m9.figshare.19858927.v3" TargetMode="External"/><Relationship Id="rId160" Type="http://schemas.openxmlformats.org/officeDocument/2006/relationships/hyperlink" Target="https://doi.org/10.6084/m9.figshare.19858927.v3" TargetMode="External"/><Relationship Id="rId181" Type="http://schemas.openxmlformats.org/officeDocument/2006/relationships/hyperlink" Target="https://doi.org/10.1029/2020GL089001" TargetMode="External"/><Relationship Id="rId22" Type="http://schemas.openxmlformats.org/officeDocument/2006/relationships/hyperlink" Target="https://services3.arcgis.com/T4QMspbfLg3qTGWY/arcgis/rest/services/Historic_Geomac_Perimeters_2016/FeatureServer/0/query?objectIds=1231&amp;outFields=%2A&amp;returnGeometry=false&amp;f=pjson" TargetMode="External"/><Relationship Id="rId43" Type="http://schemas.openxmlformats.org/officeDocument/2006/relationships/hyperlink" Target="https://services3.arcgis.com/T4QMspbfLg3qTGWY/arcgis/rest/services/Historic_Geomac_Perimeters_2016/FeatureServer/0/query?objectIds=1677&amp;outFields=%2A&amp;returnGeometry=false&amp;f=pjson" TargetMode="External"/><Relationship Id="rId64" Type="http://schemas.openxmlformats.org/officeDocument/2006/relationships/hyperlink" Target="https://doi.org/10.6084/m9.figshare.19858927.v3" TargetMode="External"/><Relationship Id="rId118" Type="http://schemas.openxmlformats.org/officeDocument/2006/relationships/hyperlink" Target="https://doi.org/10.6084/m9.figshare.19858927.v3" TargetMode="External"/><Relationship Id="rId139" Type="http://schemas.openxmlformats.org/officeDocument/2006/relationships/hyperlink" Target="https://www.nasa.gov/image-article/pioneer-fire-maple-fire-burning-still/" TargetMode="External"/><Relationship Id="rId85" Type="http://schemas.openxmlformats.org/officeDocument/2006/relationships/hyperlink" Target="https://doi.org/10.6084/m9.figshare.19858927.v3" TargetMode="External"/><Relationship Id="rId150" Type="http://schemas.openxmlformats.org/officeDocument/2006/relationships/hyperlink" Target="https://doi.org/10.6084/m9.figshare.19858927.v3" TargetMode="External"/><Relationship Id="rId171" Type="http://schemas.openxmlformats.org/officeDocument/2006/relationships/hyperlink" Target="https://doi.org/10.6084/m9.figshare.19858927.v3" TargetMode="External"/><Relationship Id="rId12" Type="http://schemas.openxmlformats.org/officeDocument/2006/relationships/hyperlink" Target="https://services3.arcgis.com/T4QMspbfLg3qTGWY/arcgis/rest/services/Historic_Geomac_Perimeters_2016/FeatureServer/0/query?objectIds=1182&amp;outFields=%2A&amp;returnGeometry=false&amp;f=pjson" TargetMode="External"/><Relationship Id="rId33" Type="http://schemas.openxmlformats.org/officeDocument/2006/relationships/hyperlink" Target="https://services3.arcgis.com/T4QMspbfLg3qTGWY/arcgis/rest/services/Historic_Geomac_Perimeters_2016/FeatureServer/0/query?objectIds=1562&amp;outFields=%2A&amp;returnGeometry=false&amp;f=pjson" TargetMode="External"/><Relationship Id="rId108" Type="http://schemas.openxmlformats.org/officeDocument/2006/relationships/hyperlink" Target="https://services3.arcgis.com/T4QMspbfLg3qTGWY/arcgis/rest/services/Historic_Geomac_Perimeters_2016/FeatureServer/0/query?objectIds=2805&amp;outFields=%2A&amp;returnGeometry=false&amp;f=pjson" TargetMode="External"/><Relationship Id="rId129" Type="http://schemas.openxmlformats.org/officeDocument/2006/relationships/hyperlink" Target="https://services3.arcgis.com/T4QMspbfLg3qTGWY/arcgis/rest/services/Historic_Geomac_Perimeters_2016/FeatureServer/0/query?objectIds=2880&amp;outFields=%2A&amp;returnGeometry=false&amp;f=pjson" TargetMode="External"/><Relationship Id="rId54" Type="http://schemas.openxmlformats.org/officeDocument/2006/relationships/hyperlink" Target="https://doi.org/10.6084/m9.figshare.19858927.v3" TargetMode="External"/><Relationship Id="rId75" Type="http://schemas.openxmlformats.org/officeDocument/2006/relationships/hyperlink" Target="https://doi.org/10.6084/m9.figshare.19858927.v3" TargetMode="External"/><Relationship Id="rId96" Type="http://schemas.openxmlformats.org/officeDocument/2006/relationships/hyperlink" Target="https://services3.arcgis.com/T4QMspbfLg3qTGWY/arcgis/rest/services/Historic_Geomac_Perimeters_2016/FeatureServer/0/query?objectIds=2656&amp;outFields=%2A&amp;returnGeometry=false&amp;f=pjson" TargetMode="External"/><Relationship Id="rId140" Type="http://schemas.openxmlformats.org/officeDocument/2006/relationships/hyperlink" Target="https://services3.arcgis.com/T4QMspbfLg3qTGWY/arcgis/rest/services/Historic_Geomac_Perimeters_2016/FeatureServer/0/query?objectIds=1579&amp;outFields=%2A&amp;returnGeometry=false&amp;f=pjson" TargetMode="External"/><Relationship Id="rId161" Type="http://schemas.openxmlformats.org/officeDocument/2006/relationships/hyperlink" Target="https://doi.org/10.6084/m9.figshare.19858927.v3" TargetMode="External"/><Relationship Id="rId182" Type="http://schemas.openxmlformats.org/officeDocument/2006/relationships/hyperlink" Target="https://doi.org/10.6084/m9.figshare.19858927.v3" TargetMode="External"/><Relationship Id="rId6" Type="http://schemas.openxmlformats.org/officeDocument/2006/relationships/hyperlink" Target="https://services3.arcgis.com/T4QMspbfLg3qTGWY/arcgis/rest/services/Historic_Geomac_Perimeters_2016/FeatureServer/0/query?objectIds=3426&amp;outFields=%2A&amp;returnGeometry=false&amp;f=pjson" TargetMode="External"/><Relationship Id="rId23" Type="http://schemas.openxmlformats.org/officeDocument/2006/relationships/hyperlink" Target="https://doi.org/10.3390/fire2020022" TargetMode="External"/><Relationship Id="rId119" Type="http://schemas.openxmlformats.org/officeDocument/2006/relationships/hyperlink" Target="https://doi.org/10.6084/m9.figshare.19858927.v3" TargetMode="External"/><Relationship Id="rId44" Type="http://schemas.openxmlformats.org/officeDocument/2006/relationships/hyperlink" Target="https://doi.org/10.6084/m9.figshare.19858927.v3" TargetMode="External"/><Relationship Id="rId60" Type="http://schemas.openxmlformats.org/officeDocument/2006/relationships/hyperlink" Target="https://doi.org/10.6084/m9.figshare.19858927.v3" TargetMode="External"/><Relationship Id="rId65" Type="http://schemas.openxmlformats.org/officeDocument/2006/relationships/hyperlink" Target="https://services3.arcgis.com/T4QMspbfLg3qTGWY/arcgis/rest/services/Historic_Geomac_Perimeters_2016/FeatureServer/0/query?objectIds=1720&amp;outFields=%2A&amp;returnGeometry=false&amp;f=pjson" TargetMode="External"/><Relationship Id="rId81" Type="http://schemas.openxmlformats.org/officeDocument/2006/relationships/hyperlink" Target="https://services3.arcgis.com/T4QMspbfLg3qTGWY/arcgis/rest/services/Historic_Geomac_Perimeters_2016/FeatureServer/0/query?objectIds=2042&amp;outFields=%2A&amp;returnGeometry=false&amp;f=pjson" TargetMode="External"/><Relationship Id="rId86" Type="http://schemas.openxmlformats.org/officeDocument/2006/relationships/hyperlink" Target="https://services3.arcgis.com/T4QMspbfLg3qTGWY/arcgis/rest/services/Historic_Geomac_Perimeters_2016/FeatureServer/0/query?objectIds=3418&amp;outFields=%2A&amp;returnGeometry=false&amp;f=pjson" TargetMode="External"/><Relationship Id="rId130" Type="http://schemas.openxmlformats.org/officeDocument/2006/relationships/hyperlink" Target="https://services3.arcgis.com/T4QMspbfLg3qTGWY/arcgis/rest/services/Historic_Geomac_Perimeters_2016/FeatureServer/0/query?objectIds=3416&amp;outFields=%2A&amp;returnGeometry=false&amp;f=pjson" TargetMode="External"/><Relationship Id="rId135" Type="http://schemas.openxmlformats.org/officeDocument/2006/relationships/hyperlink" Target="https://www.nasa.gov/image-article/pioneer-fire-maple-fire-burning-still/" TargetMode="External"/><Relationship Id="rId151" Type="http://schemas.openxmlformats.org/officeDocument/2006/relationships/hyperlink" Target="https://services3.arcgis.com/T4QMspbfLg3qTGWY/arcgis/rest/services/Historic_Geomac_Perimeters_2016/FeatureServer/0/query?objectIds=3042&amp;outFields=%2A&amp;returnGeometry=false&amp;f=pjson" TargetMode="External"/><Relationship Id="rId156" Type="http://schemas.openxmlformats.org/officeDocument/2006/relationships/hyperlink" Target="https://services3.arcgis.com/T4QMspbfLg3qTGWY/arcgis/rest/services/Historic_Geomac_Perimeters_2016/FeatureServer/0/query?objectIds=1499&amp;outFields=%2A&amp;returnGeometry=false&amp;f=pjson" TargetMode="External"/><Relationship Id="rId177" Type="http://schemas.openxmlformats.org/officeDocument/2006/relationships/hyperlink" Target="https://doi.org/10.6084/m9.figshare.19858927.v3" TargetMode="External"/><Relationship Id="rId172" Type="http://schemas.openxmlformats.org/officeDocument/2006/relationships/hyperlink" Target="https://services3.arcgis.com/T4QMspbfLg3qTGWY/arcgis/rest/services/Historic_Geomac_Perimeters_2016/FeatureServer/0/query?objectIds=2958&amp;outFields=%2A&amp;returnGeometry=false&amp;f=pjson" TargetMode="External"/><Relationship Id="rId13" Type="http://schemas.openxmlformats.org/officeDocument/2006/relationships/hyperlink" Target="https://doi.org/10.6084/m9.figshare.19858927.v3" TargetMode="External"/><Relationship Id="rId18" Type="http://schemas.openxmlformats.org/officeDocument/2006/relationships/hyperlink" Target="https://services3.arcgis.com/T4QMspbfLg3qTGWY/arcgis/rest/services/Historic_Geomac_Perimeters_2016/FeatureServer/0/query?objectIds=1713&amp;outFields=%2A&amp;returnGeometry=false&amp;f=pjson" TargetMode="External"/><Relationship Id="rId39" Type="http://schemas.openxmlformats.org/officeDocument/2006/relationships/hyperlink" Target="https://doi.org/10.6084/m9.figshare.19858927.v3" TargetMode="External"/><Relationship Id="rId109" Type="http://schemas.openxmlformats.org/officeDocument/2006/relationships/hyperlink" Target="https://doi.org/10.6084/m9.figshare.19858927.v3" TargetMode="External"/><Relationship Id="rId34" Type="http://schemas.openxmlformats.org/officeDocument/2006/relationships/hyperlink" Target="https://services3.arcgis.com/T4QMspbfLg3qTGWY/arcgis/rest/services/Historic_Geomac_Perimeters_2016/FeatureServer/0/query?objectIds=72&amp;outFields=%2A&amp;returnGeometry=false&amp;f=pjson" TargetMode="External"/><Relationship Id="rId50" Type="http://schemas.openxmlformats.org/officeDocument/2006/relationships/hyperlink" Target="https://services3.arcgis.com/T4QMspbfLg3qTGWY/arcgis/rest/services/Historic_Geomac_Perimeters_2016/FeatureServer/0/query?objectIds=1738&amp;outFields=%2A&amp;returnGeometry=false&amp;f=pjson" TargetMode="External"/><Relationship Id="rId55" Type="http://schemas.openxmlformats.org/officeDocument/2006/relationships/hyperlink" Target="https://doi.org/10.6084/m9.figshare.19858927.v3" TargetMode="External"/><Relationship Id="rId76" Type="http://schemas.openxmlformats.org/officeDocument/2006/relationships/hyperlink" Target="https://doi.org/10.6084/m9.figshare.19858927.v3" TargetMode="External"/><Relationship Id="rId97" Type="http://schemas.openxmlformats.org/officeDocument/2006/relationships/hyperlink" Target="https://doi.org/10.6084/m9.figshare.19858927.v3" TargetMode="External"/><Relationship Id="rId104" Type="http://schemas.openxmlformats.org/officeDocument/2006/relationships/hyperlink" Target="https://doi.org/10.1029/2020GL089001" TargetMode="External"/><Relationship Id="rId120" Type="http://schemas.openxmlformats.org/officeDocument/2006/relationships/hyperlink" Target="https://services3.arcgis.com/T4QMspbfLg3qTGWY/arcgis/rest/services/Historic_Geomac_Perimeters_2016/FeatureServer/0/query?objectIds=2569&amp;outFields=%2A&amp;returnGeometry=false&amp;f=pjson" TargetMode="External"/><Relationship Id="rId125" Type="http://schemas.openxmlformats.org/officeDocument/2006/relationships/hyperlink" Target="https://doi.org/10.6084/m9.figshare.19858927.v3" TargetMode="External"/><Relationship Id="rId141" Type="http://schemas.openxmlformats.org/officeDocument/2006/relationships/hyperlink" Target="https://doi.org/10.6084/m9.figshare.19858927.v3" TargetMode="External"/><Relationship Id="rId146" Type="http://schemas.openxmlformats.org/officeDocument/2006/relationships/hyperlink" Target="https://services3.arcgis.com/T4QMspbfLg3qTGWY/arcgis/rest/services/Historic_Geomac_Perimeters_2016/FeatureServer/0/query?objectIds=3026&amp;outFields=%2A&amp;returnGeometry=false&amp;f=pjson" TargetMode="External"/><Relationship Id="rId167" Type="http://schemas.openxmlformats.org/officeDocument/2006/relationships/hyperlink" Target="https://doi.org/10.6084/m9.figshare.19858927.v3" TargetMode="External"/><Relationship Id="rId7" Type="http://schemas.openxmlformats.org/officeDocument/2006/relationships/hyperlink" Target="https://doi.org/10.6084/m9.figshare.19858927.v3" TargetMode="External"/><Relationship Id="rId71" Type="http://schemas.openxmlformats.org/officeDocument/2006/relationships/hyperlink" Target="https://services3.arcgis.com/T4QMspbfLg3qTGWY/arcgis/rest/services/Historic_Geomac_Perimeters_2016/FeatureServer/0/query?objectIds=1920&amp;outFields=%2A&amp;returnGeometry=false&amp;f=pjson" TargetMode="External"/><Relationship Id="rId92" Type="http://schemas.openxmlformats.org/officeDocument/2006/relationships/hyperlink" Target="https://doi.org/10.6084/m9.figshare.19858927.v3" TargetMode="External"/><Relationship Id="rId162" Type="http://schemas.openxmlformats.org/officeDocument/2006/relationships/hyperlink" Target="https://doi.org/10.6084/m9.figshare.19858927.v3" TargetMode="External"/><Relationship Id="rId183" Type="http://schemas.openxmlformats.org/officeDocument/2006/relationships/table" Target="../tables/table1.xml"/><Relationship Id="rId2" Type="http://schemas.openxmlformats.org/officeDocument/2006/relationships/hyperlink" Target="https://wildfiretoday.com/usfs-regional-fire-director-describes-the-management-of-the-pioneer-fire/" TargetMode="External"/><Relationship Id="rId29" Type="http://schemas.openxmlformats.org/officeDocument/2006/relationships/hyperlink" Target="https://services3.arcgis.com/T4QMspbfLg3qTGWY/arcgis/rest/services/Historic_Geomac_Perimeters_2016/FeatureServer/0/query?objectIds=13&amp;outFields=%2A&amp;returnGeometry=false&amp;f=pjson" TargetMode="External"/><Relationship Id="rId24" Type="http://schemas.openxmlformats.org/officeDocument/2006/relationships/hyperlink" Target="https://services3.arcgis.com/T4QMspbfLg3qTGWY/arcgis/rest/services/Historic_Geomac_Perimeters_2016/FeatureServer/0/query?objectIds=1332&amp;outFields=%2A&amp;returnGeometry=false&amp;f=pjson" TargetMode="External"/><Relationship Id="rId40" Type="http://schemas.openxmlformats.org/officeDocument/2006/relationships/hyperlink" Target="https://services3.arcgis.com/T4QMspbfLg3qTGWY/arcgis/rest/services/Historic_Geomac_Perimeters_2016/FeatureServer/0/query?objectIds=1606&amp;outFields=%2A&amp;returnGeometry=false&amp;f=pjson" TargetMode="External"/><Relationship Id="rId45" Type="http://schemas.openxmlformats.org/officeDocument/2006/relationships/hyperlink" Target="https://services3.arcgis.com/T4QMspbfLg3qTGWY/arcgis/rest/services/Historic_Geomac_Perimeters_2016/FeatureServer/0/query?objectIds=1676&amp;outFields=%2A&amp;returnGeometry=false&amp;f=pjson" TargetMode="External"/><Relationship Id="rId66" Type="http://schemas.openxmlformats.org/officeDocument/2006/relationships/hyperlink" Target="https://doi.org/10.6084/m9.figshare.19858927.v3" TargetMode="External"/><Relationship Id="rId87" Type="http://schemas.openxmlformats.org/officeDocument/2006/relationships/hyperlink" Target="https://services3.arcgis.com/T4QMspbfLg3qTGWY/arcgis/rest/services/Historic_Geomac_Perimeters_2016/FeatureServer/0/query?objectIds=2486&amp;outFields=%2A&amp;returnGeometry=false&amp;f=pjson" TargetMode="External"/><Relationship Id="rId110" Type="http://schemas.openxmlformats.org/officeDocument/2006/relationships/hyperlink" Target="https://doi.org/10.6084/m9.figshare.19858927.v3" TargetMode="External"/><Relationship Id="rId115" Type="http://schemas.openxmlformats.org/officeDocument/2006/relationships/hyperlink" Target="https://doi.org/10.6084/m9.figshare.19858927.v3" TargetMode="External"/><Relationship Id="rId131" Type="http://schemas.openxmlformats.org/officeDocument/2006/relationships/hyperlink" Target="https://doi.org/10.6084/m9.figshare.19858927.v3" TargetMode="External"/><Relationship Id="rId136" Type="http://schemas.openxmlformats.org/officeDocument/2006/relationships/hyperlink" Target="https://services3.arcgis.com/T4QMspbfLg3qTGWY/arcgis/rest/services/Historic_Geomac_Perimeters_2016/FeatureServer/0/query?objectIds=2673&amp;outFields=%2A&amp;returnGeometry=false&amp;f=pjson" TargetMode="External"/><Relationship Id="rId157" Type="http://schemas.openxmlformats.org/officeDocument/2006/relationships/hyperlink" Target="https://services3.arcgis.com/T4QMspbfLg3qTGWY/arcgis/rest/services/Historic_Geomac_Perimeters_2016/FeatureServer/0/query?objectIds=1498&amp;outFields=%2A&amp;returnGeometry=false&amp;f=pjson" TargetMode="External"/><Relationship Id="rId178" Type="http://schemas.openxmlformats.org/officeDocument/2006/relationships/hyperlink" Target="https://doi.org/10.6084/m9.figshare.19858927.v3" TargetMode="External"/><Relationship Id="rId61" Type="http://schemas.openxmlformats.org/officeDocument/2006/relationships/hyperlink" Target="https://services3.arcgis.com/T4QMspbfLg3qTGWY/arcgis/rest/services/Historic_Geomac_Perimeters_2016/FeatureServer/0/query?objectIds=1400&amp;outFields=%2A&amp;returnGeometry=false&amp;f=pjson" TargetMode="External"/><Relationship Id="rId82" Type="http://schemas.openxmlformats.org/officeDocument/2006/relationships/hyperlink" Target="https://services3.arcgis.com/T4QMspbfLg3qTGWY/arcgis/rest/services/Historic_Geomac_Perimeters_2016/FeatureServer/0/query?objectIds=3419&amp;outFields=%2A&amp;returnGeometry=false&amp;f=pjson" TargetMode="External"/><Relationship Id="rId152" Type="http://schemas.openxmlformats.org/officeDocument/2006/relationships/hyperlink" Target="https://services3.arcgis.com/T4QMspbfLg3qTGWY/arcgis/rest/services/Historic_Geomac_Perimeters_2016/FeatureServer/0/query?objectIds=1501&amp;outFields=%2A&amp;returnGeometry=false&amp;f=pjson" TargetMode="External"/><Relationship Id="rId173" Type="http://schemas.openxmlformats.org/officeDocument/2006/relationships/hyperlink" Target="https://services3.arcgis.com/T4QMspbfLg3qTGWY/arcgis/rest/services/Historic_Geomac_Perimeters_2016/FeatureServer/0/query?objectIds=1719&amp;outFields=%2A&amp;returnGeometry=false&amp;f=pjson" TargetMode="External"/><Relationship Id="rId19" Type="http://schemas.openxmlformats.org/officeDocument/2006/relationships/hyperlink" Target="https://doi.org/10.6084/m9.figshare.19858927.v3" TargetMode="External"/><Relationship Id="rId14" Type="http://schemas.openxmlformats.org/officeDocument/2006/relationships/hyperlink" Target="https://doi.org/10.6084/m9.figshare.19858927.v3" TargetMode="External"/><Relationship Id="rId30" Type="http://schemas.openxmlformats.org/officeDocument/2006/relationships/hyperlink" Target="https://doi.org/10.6084/m9.figshare.19858927.v3" TargetMode="External"/><Relationship Id="rId35" Type="http://schemas.openxmlformats.org/officeDocument/2006/relationships/hyperlink" Target="https://doi.org/10.6084/m9.figshare.19858927.v3" TargetMode="External"/><Relationship Id="rId56" Type="http://schemas.openxmlformats.org/officeDocument/2006/relationships/hyperlink" Target="https://services3.arcgis.com/T4QMspbfLg3qTGWY/arcgis/rest/services/Historic_Geomac_Perimeters_2016/FeatureServer/0/query?objectIds=1776&amp;outFields=%2A&amp;returnGeometry=false&amp;f=pjson" TargetMode="External"/><Relationship Id="rId77" Type="http://schemas.openxmlformats.org/officeDocument/2006/relationships/hyperlink" Target="https://services3.arcgis.com/T4QMspbfLg3qTGWY/arcgis/rest/services/Historic_Geomac_Perimeters_2016/FeatureServer/0/query?objectIds=1902&amp;outFields=%2A&amp;returnGeometry=false&amp;f=pjson" TargetMode="External"/><Relationship Id="rId100" Type="http://schemas.openxmlformats.org/officeDocument/2006/relationships/hyperlink" Target="https://services3.arcgis.com/T4QMspbfLg3qTGWY/arcgis/rest/services/Historic_Geomac_Perimeters_2016/FeatureServer/0/query?objectIds=2729&amp;outFields=%2A&amp;returnGeometry=false&amp;f=pjson" TargetMode="External"/><Relationship Id="rId105" Type="http://schemas.openxmlformats.org/officeDocument/2006/relationships/hyperlink" Target="https://services3.arcgis.com/T4QMspbfLg3qTGWY/arcgis/rest/services/Historic_Geomac_Perimeters_2016/FeatureServer/0/query?objectIds=3417&amp;outFields=%2A&amp;returnGeometry=false&amp;f=pjson" TargetMode="External"/><Relationship Id="rId126" Type="http://schemas.openxmlformats.org/officeDocument/2006/relationships/hyperlink" Target="https://services3.arcgis.com/T4QMspbfLg3qTGWY/arcgis/rest/services/Historic_Geomac_Perimeters_2016/FeatureServer/0/query?objectIds=2630&amp;outFields=%2A&amp;returnGeometry=false&amp;f=pjson" TargetMode="External"/><Relationship Id="rId147" Type="http://schemas.openxmlformats.org/officeDocument/2006/relationships/hyperlink" Target="https://doi.org/10.6084/m9.figshare.19858927.v3" TargetMode="External"/><Relationship Id="rId168" Type="http://schemas.openxmlformats.org/officeDocument/2006/relationships/hyperlink" Target="https://doi.org/10.6084/m9.figshare.19858927.v3" TargetMode="External"/><Relationship Id="rId8" Type="http://schemas.openxmlformats.org/officeDocument/2006/relationships/hyperlink" Target="https://services3.arcgis.com/T4QMspbfLg3qTGWY/arcgis/rest/services/Historic_Geomac_Perimeters_2016/FeatureServer/0/query?objectIds=1189&amp;outFields=%2A&amp;returnGeometry=false&amp;f=pjson" TargetMode="External"/><Relationship Id="rId51" Type="http://schemas.openxmlformats.org/officeDocument/2006/relationships/hyperlink" Target="https://services3.arcgis.com/T4QMspbfLg3qTGWY/arcgis/rest/services/Historic_Geomac_Perimeters_2016/FeatureServer/0/query?objectIds=2255&amp;outFields=%2A&amp;returnGeometry=false&amp;f=pjson" TargetMode="External"/><Relationship Id="rId72" Type="http://schemas.openxmlformats.org/officeDocument/2006/relationships/hyperlink" Target="https://doi.org/10.6084/m9.figshare.19858927.v3" TargetMode="External"/><Relationship Id="rId93" Type="http://schemas.openxmlformats.org/officeDocument/2006/relationships/hyperlink" Target="https://services3.arcgis.com/T4QMspbfLg3qTGWY/arcgis/rest/services/Historic_Geomac_Perimeters_2016/FeatureServer/0/query?objectIds=2464&amp;outFields=%2A&amp;returnGeometry=false&amp;f=pjson" TargetMode="External"/><Relationship Id="rId98" Type="http://schemas.openxmlformats.org/officeDocument/2006/relationships/hyperlink" Target="https://doi.org/10.6084/m9.figshare.19858927.v3" TargetMode="External"/><Relationship Id="rId121" Type="http://schemas.openxmlformats.org/officeDocument/2006/relationships/hyperlink" Target="https://services3.arcgis.com/T4QMspbfLg3qTGWY/arcgis/rest/services/Historic_Geomac_Perimeters_2016/FeatureServer/0/query?objectIds=2921&amp;outFields=%2A&amp;returnGeometry=false&amp;f=pjson" TargetMode="External"/><Relationship Id="rId142" Type="http://schemas.openxmlformats.org/officeDocument/2006/relationships/hyperlink" Target="https://services3.arcgis.com/T4QMspbfLg3qTGWY/arcgis/rest/services/Historic_Geomac_Perimeters_2016/FeatureServer/0/query?objectIds=2173&amp;outFields=%2A&amp;returnGeometry=false&amp;f=pjson" TargetMode="External"/><Relationship Id="rId163" Type="http://schemas.openxmlformats.org/officeDocument/2006/relationships/hyperlink" Target="https://doi.org/10.6084/m9.figshare.19858927.v3" TargetMode="External"/><Relationship Id="rId3" Type="http://schemas.openxmlformats.org/officeDocument/2006/relationships/hyperlink" Target="https://doi.org/10.6084/m9.figshare.19858927.v3" TargetMode="External"/><Relationship Id="rId25" Type="http://schemas.openxmlformats.org/officeDocument/2006/relationships/hyperlink" Target="https://doi.org/10.6084/m9.figshare.19858927.v3" TargetMode="External"/><Relationship Id="rId46" Type="http://schemas.openxmlformats.org/officeDocument/2006/relationships/hyperlink" Target="https://services3.arcgis.com/T4QMspbfLg3qTGWY/arcgis/rest/services/Historic_Geomac_Perimeters_2016/FeatureServer/0/query?objectIds=3424&amp;outFields=%2A&amp;returnGeometry=false&amp;f=pjson" TargetMode="External"/><Relationship Id="rId67" Type="http://schemas.openxmlformats.org/officeDocument/2006/relationships/hyperlink" Target="https://doi.org/10.6084/m9.figshare.19858927.v3" TargetMode="External"/><Relationship Id="rId116" Type="http://schemas.openxmlformats.org/officeDocument/2006/relationships/hyperlink" Target="https://services3.arcgis.com/T4QMspbfLg3qTGWY/arcgis/rest/services/Historic_Geomac_Perimeters_2016/FeatureServer/0/query?objectIds=2885&amp;outFields=%2A&amp;returnGeometry=false&amp;f=pjson" TargetMode="External"/><Relationship Id="rId137" Type="http://schemas.openxmlformats.org/officeDocument/2006/relationships/hyperlink" Target="https://doi.org/10.6084/m9.figshare.19858927.v3" TargetMode="External"/><Relationship Id="rId158" Type="http://schemas.openxmlformats.org/officeDocument/2006/relationships/hyperlink" Target="https://doi.org/10.6084/m9.figshare.19858927.v3" TargetMode="External"/><Relationship Id="rId20" Type="http://schemas.openxmlformats.org/officeDocument/2006/relationships/hyperlink" Target="https://services3.arcgis.com/T4QMspbfLg3qTGWY/arcgis/rest/services/Historic_Geomac_Perimeters_2016/FeatureServer/0/query?objectIds=625&amp;outFields=%2A&amp;returnGeometry=false&amp;f=pjson" TargetMode="External"/><Relationship Id="rId41" Type="http://schemas.openxmlformats.org/officeDocument/2006/relationships/hyperlink" Target="https://doi.org/10.6084/m9.figshare.19858927.v3" TargetMode="External"/><Relationship Id="rId62" Type="http://schemas.openxmlformats.org/officeDocument/2006/relationships/hyperlink" Target="https://services3.arcgis.com/T4QMspbfLg3qTGWY/arcgis/rest/services/Historic_Geomac_Perimeters_2016/FeatureServer/0/query?objectIds=1838&amp;outFields=%2A&amp;returnGeometry=false&amp;f=pjson" TargetMode="External"/><Relationship Id="rId83" Type="http://schemas.openxmlformats.org/officeDocument/2006/relationships/hyperlink" Target="https://doi.org/10.6084/m9.figshare.19858927.v3" TargetMode="External"/><Relationship Id="rId88" Type="http://schemas.openxmlformats.org/officeDocument/2006/relationships/hyperlink" Target="https://services3.arcgis.com/T4QMspbfLg3qTGWY/arcgis/rest/services/Historic_Geomac_Perimeters_2016/FeatureServer/0/query?objectIds=1452&amp;outFields=%2A&amp;returnGeometry=false&amp;f=pjson" TargetMode="External"/><Relationship Id="rId111" Type="http://schemas.openxmlformats.org/officeDocument/2006/relationships/hyperlink" Target="https://services3.arcgis.com/T4QMspbfLg3qTGWY/arcgis/rest/services/Historic_Geomac_Perimeters_2016/FeatureServer/0/query?objectIds=2108&amp;outFields=%2A&amp;returnGeometry=false&amp;f=pjson" TargetMode="External"/><Relationship Id="rId132" Type="http://schemas.openxmlformats.org/officeDocument/2006/relationships/hyperlink" Target="https://services3.arcgis.com/T4QMspbfLg3qTGWY/arcgis/rest/services/Historic_Geomac_Perimeters_2016/FeatureServer/0/query?objectIds=2646&amp;outFields=%2A&amp;returnGeometry=false&amp;f=pjson" TargetMode="External"/><Relationship Id="rId153" Type="http://schemas.openxmlformats.org/officeDocument/2006/relationships/hyperlink" Target="https://doi.org/10.6084/m9.figshare.19858927.v3" TargetMode="External"/><Relationship Id="rId174" Type="http://schemas.openxmlformats.org/officeDocument/2006/relationships/hyperlink" Target="https://doi.org/10.6084/m9.figshare.19858927.v3" TargetMode="External"/><Relationship Id="rId179" Type="http://schemas.openxmlformats.org/officeDocument/2006/relationships/hyperlink" Target="https://doi.org/10.6084/m9.figshare.19858927.v3" TargetMode="External"/><Relationship Id="rId15" Type="http://schemas.openxmlformats.org/officeDocument/2006/relationships/hyperlink" Target="https://services3.arcgis.com/T4QMspbfLg3qTGWY/arcgis/rest/services/Historic_Geomac_Perimeters_2016/FeatureServer/0/query?objectIds=1255&amp;outFields=%2A&amp;returnGeometry=false&amp;f=pjson" TargetMode="External"/><Relationship Id="rId36" Type="http://schemas.openxmlformats.org/officeDocument/2006/relationships/hyperlink" Target="https://yellowpinetimes.wordpress.com/2016/08/01/fire-update-aug-1/" TargetMode="External"/><Relationship Id="rId57" Type="http://schemas.openxmlformats.org/officeDocument/2006/relationships/hyperlink" Target="https://services3.arcgis.com/T4QMspbfLg3qTGWY/arcgis/rest/services/Historic_Geomac_Perimeters_2016/FeatureServer/0/query?objectIds=3423&amp;outFields=%2A&amp;returnGeometry=false&amp;f=pjson" TargetMode="External"/><Relationship Id="rId106" Type="http://schemas.openxmlformats.org/officeDocument/2006/relationships/hyperlink" Target="https://doi.org/10.6084/m9.figshare.19858927.v3" TargetMode="External"/><Relationship Id="rId127" Type="http://schemas.openxmlformats.org/officeDocument/2006/relationships/hyperlink" Target="https://services3.arcgis.com/T4QMspbfLg3qTGWY/arcgis/rest/services/Historic_Geomac_Perimeters_2016/FeatureServer/0/query?objectIds=210&amp;outFields=%2A&amp;returnGeometry=false&amp;f=pjson" TargetMode="External"/><Relationship Id="rId10" Type="http://schemas.openxmlformats.org/officeDocument/2006/relationships/hyperlink" Target="https://services3.arcgis.com/T4QMspbfLg3qTGWY/arcgis/rest/services/Historic_Geomac_Perimeters_2016/FeatureServer/0/query?objectIds=4347&amp;outFields=%2A&amp;returnGeometry=false&amp;f=pjson" TargetMode="External"/><Relationship Id="rId31" Type="http://schemas.openxmlformats.org/officeDocument/2006/relationships/hyperlink" Target="https://services3.arcgis.com/T4QMspbfLg3qTGWY/arcgis/rest/services/Historic_Geomac_Perimeters_2016/FeatureServer/0/query?objectIds=22&amp;outFields=%2A&amp;returnGeometry=false&amp;f=pjson" TargetMode="External"/><Relationship Id="rId52" Type="http://schemas.openxmlformats.org/officeDocument/2006/relationships/hyperlink" Target="https://doi.org/10.6084/m9.figshare.19858927.v3" TargetMode="External"/><Relationship Id="rId73" Type="http://schemas.openxmlformats.org/officeDocument/2006/relationships/hyperlink" Target="https://services3.arcgis.com/T4QMspbfLg3qTGWY/arcgis/rest/services/Historic_Geomac_Perimeters_2016/FeatureServer/0/query?objectIds=1900&amp;outFields=%2A&amp;returnGeometry=false&amp;f=pjson" TargetMode="External"/><Relationship Id="rId78" Type="http://schemas.openxmlformats.org/officeDocument/2006/relationships/hyperlink" Target="https://services3.arcgis.com/T4QMspbfLg3qTGWY/arcgis/rest/services/Historic_Geomac_Perimeters_2016/FeatureServer/0/query?objectIds=2043&amp;outFields=%2A&amp;returnGeometry=false&amp;f=pjson" TargetMode="External"/><Relationship Id="rId94" Type="http://schemas.openxmlformats.org/officeDocument/2006/relationships/hyperlink" Target="https://services3.arcgis.com/T4QMspbfLg3qTGWY/arcgis/rest/services/Historic_Geomac_Perimeters_2016/FeatureServer/0/query?objectIds=2472&amp;outFields=%2A&amp;returnGeometry=false&amp;f=pjson" TargetMode="External"/><Relationship Id="rId99" Type="http://schemas.openxmlformats.org/officeDocument/2006/relationships/hyperlink" Target="https://services3.arcgis.com/T4QMspbfLg3qTGWY/arcgis/rest/services/Historic_Geomac_Perimeters_2016/FeatureServer/0/query?objectIds=2598&amp;outFields=%2A&amp;returnGeometry=false&amp;f=pjson" TargetMode="External"/><Relationship Id="rId101" Type="http://schemas.openxmlformats.org/officeDocument/2006/relationships/hyperlink" Target="https://services3.arcgis.com/T4QMspbfLg3qTGWY/arcgis/rest/services/Historic_Geomac_Perimeters_2016/FeatureServer/0/query?objectIds=1943&amp;outFields=%2A&amp;returnGeometry=false&amp;f=pjson" TargetMode="External"/><Relationship Id="rId122" Type="http://schemas.openxmlformats.org/officeDocument/2006/relationships/hyperlink" Target="https://doi.org/10.6084/m9.figshare.19858927.v3" TargetMode="External"/><Relationship Id="rId143" Type="http://schemas.openxmlformats.org/officeDocument/2006/relationships/hyperlink" Target="https://services3.arcgis.com/T4QMspbfLg3qTGWY/arcgis/rest/services/Historic_Geomac_Perimeters_2016/FeatureServer/0/query?objectIds=3018&amp;outFields=%2A&amp;returnGeometry=false&amp;f=pjson" TargetMode="External"/><Relationship Id="rId148" Type="http://schemas.openxmlformats.org/officeDocument/2006/relationships/hyperlink" Target="https://services3.arcgis.com/T4QMspbfLg3qTGWY/arcgis/rest/services/Historic_Geomac_Perimeters_2016/FeatureServer/0/query?objectIds=3021&amp;outFields=%2A&amp;returnGeometry=false&amp;f=pjson" TargetMode="External"/><Relationship Id="rId164" Type="http://schemas.openxmlformats.org/officeDocument/2006/relationships/hyperlink" Target="https://doi.org/10.6084/m9.figshare.19858927.v3" TargetMode="External"/><Relationship Id="rId169" Type="http://schemas.openxmlformats.org/officeDocument/2006/relationships/hyperlink" Target="https://services3.arcgis.com/T4QMspbfLg3qTGWY/arcgis/rest/services/Historic_Geomac_Perimeters_2016/FeatureServer/0/query?objectIds=3415&amp;outFields=%2A&amp;returnGeometry=false&amp;f=pjson" TargetMode="External"/><Relationship Id="rId4" Type="http://schemas.openxmlformats.org/officeDocument/2006/relationships/hyperlink" Target="https://services3.arcgis.com/T4QMspbfLg3qTGWY/arcgis/rest/services/Historic_Geomac_Perimeters_2016/FeatureServer/0/query?objectIds=1129&amp;outFields=%2A&amp;returnGeometry=false&amp;f=pjson" TargetMode="External"/><Relationship Id="rId9" Type="http://schemas.openxmlformats.org/officeDocument/2006/relationships/hyperlink" Target="https://doi.org/10.6084/m9.figshare.19858927.v3" TargetMode="External"/><Relationship Id="rId180" Type="http://schemas.openxmlformats.org/officeDocument/2006/relationships/hyperlink" Target="https://doi.org/10.6084/m9.figshare.19858927.v3" TargetMode="External"/><Relationship Id="rId26" Type="http://schemas.openxmlformats.org/officeDocument/2006/relationships/hyperlink" Target="https://services3.arcgis.com/T4QMspbfLg3qTGWY/arcgis/rest/services/Historic_Geomac_Perimeters_2016/FeatureServer/0/query?objectIds=14&amp;outFields=%2A&amp;returnGeometry=false&amp;f=pjson" TargetMode="External"/><Relationship Id="rId47" Type="http://schemas.openxmlformats.org/officeDocument/2006/relationships/hyperlink" Target="https://services3.arcgis.com/T4QMspbfLg3qTGWY/arcgis/rest/services/Historic_Geomac_Perimeters_2016/FeatureServer/0/query?objectIds=1698&amp;outFields=%2A&amp;returnGeometry=false&amp;f=pjson" TargetMode="External"/><Relationship Id="rId68" Type="http://schemas.openxmlformats.org/officeDocument/2006/relationships/hyperlink" Target="https://services3.arcgis.com/T4QMspbfLg3qTGWY/arcgis/rest/services/Historic_Geomac_Perimeters_2016/FeatureServer/0/query?objectIds=1725&amp;outFields=%2A&amp;returnGeometry=false&amp;f=pjson" TargetMode="External"/><Relationship Id="rId89" Type="http://schemas.openxmlformats.org/officeDocument/2006/relationships/hyperlink" Target="https://doi.org/10.6084/m9.figshare.19858927.v3" TargetMode="External"/><Relationship Id="rId112" Type="http://schemas.openxmlformats.org/officeDocument/2006/relationships/hyperlink" Target="https://services3.arcgis.com/T4QMspbfLg3qTGWY/arcgis/rest/services/Historic_Geomac_Perimeters_2016/FeatureServer/0/query?objectIds=2111&amp;outFields=%2A&amp;returnGeometry=false&amp;f=pjson" TargetMode="External"/><Relationship Id="rId133" Type="http://schemas.openxmlformats.org/officeDocument/2006/relationships/hyperlink" Target="https://services3.arcgis.com/T4QMspbfLg3qTGWY/arcgis/rest/services/Historic_Geomac_Perimeters_2016/FeatureServer/0/query?objectIds=2995&amp;outFields=%2A&amp;returnGeometry=false&amp;f=pjson" TargetMode="External"/><Relationship Id="rId154" Type="http://schemas.openxmlformats.org/officeDocument/2006/relationships/hyperlink" Target="https://services3.arcgis.com/T4QMspbfLg3qTGWY/arcgis/rest/services/Historic_Geomac_Perimeters_2016/FeatureServer/0/query?objectIds=1500&amp;outFields=%2A&amp;returnGeometry=false&amp;f=pjson" TargetMode="External"/><Relationship Id="rId175" Type="http://schemas.openxmlformats.org/officeDocument/2006/relationships/hyperlink" Target="https://yellowpinetimes.wordpress.com/2016/09/29/fire-update-sept-29/" TargetMode="External"/><Relationship Id="rId16" Type="http://schemas.openxmlformats.org/officeDocument/2006/relationships/hyperlink" Target="https://services3.arcgis.com/T4QMspbfLg3qTGWY/arcgis/rest/services/Historic_Geomac_Perimeters_2016/FeatureServer/0/query?objectIds=1284&amp;outFields=%2A&amp;returnGeometry=false&amp;f=pjson" TargetMode="External"/><Relationship Id="rId37" Type="http://schemas.openxmlformats.org/officeDocument/2006/relationships/hyperlink" Target="https://services3.arcgis.com/T4QMspbfLg3qTGWY/arcgis/rest/services/Historic_Geomac_Perimeters_2016/FeatureServer/0/query?objectIds=2029&amp;outFields=%2A&amp;returnGeometry=false&amp;f=pjson" TargetMode="External"/><Relationship Id="rId58" Type="http://schemas.openxmlformats.org/officeDocument/2006/relationships/hyperlink" Target="https://doi.org/10.6084/m9.figshare.19858927.v3" TargetMode="External"/><Relationship Id="rId79" Type="http://schemas.openxmlformats.org/officeDocument/2006/relationships/hyperlink" Target="https://doi.org/10.6084/m9.figshare.19858927.v3" TargetMode="External"/><Relationship Id="rId102" Type="http://schemas.openxmlformats.org/officeDocument/2006/relationships/hyperlink" Target="https://doi.org/10.6084/m9.figshare.19858927.v3" TargetMode="External"/><Relationship Id="rId123" Type="http://schemas.openxmlformats.org/officeDocument/2006/relationships/hyperlink" Target="https://services3.arcgis.com/T4QMspbfLg3qTGWY/arcgis/rest/services/Historic_Geomac_Perimeters_2016/FeatureServer/0/query?objectIds=2832&amp;outFields=%2A&amp;returnGeometry=false&amp;f=pjson" TargetMode="External"/><Relationship Id="rId144" Type="http://schemas.openxmlformats.org/officeDocument/2006/relationships/hyperlink" Target="https://doi.org/10.6084/m9.figshare.19858927.v3" TargetMode="External"/><Relationship Id="rId90" Type="http://schemas.openxmlformats.org/officeDocument/2006/relationships/hyperlink" Target="https://services3.arcgis.com/T4QMspbfLg3qTGWY/arcgis/rest/services/Historic_Geomac_Perimeters_2016/FeatureServer/0/query?objectIds=1446&amp;outFields=%2A&amp;returnGeometry=false&amp;f=pjson" TargetMode="External"/><Relationship Id="rId165" Type="http://schemas.openxmlformats.org/officeDocument/2006/relationships/hyperlink" Target="https://services3.arcgis.com/T4QMspbfLg3qTGWY/arcgis/rest/services/Historic_Geomac_Perimeters_2016/FeatureServer/0/query?objectIds=3214&amp;outFields=%2A&amp;returnGeometry=false&amp;f=pjson" TargetMode="External"/><Relationship Id="rId27" Type="http://schemas.openxmlformats.org/officeDocument/2006/relationships/hyperlink" Target="https://services3.arcgis.com/T4QMspbfLg3qTGWY/arcgis/rest/services/Historic_Geomac_Perimeters_2016/FeatureServer/0/query?objectIds=1556&amp;outFields=%2A&amp;returnGeometry=false&amp;f=pjson" TargetMode="External"/><Relationship Id="rId48" Type="http://schemas.openxmlformats.org/officeDocument/2006/relationships/hyperlink" Target="https://doi.org/10.6084/m9.figshare.19858927.v3" TargetMode="External"/><Relationship Id="rId69" Type="http://schemas.openxmlformats.org/officeDocument/2006/relationships/hyperlink" Target="https://services3.arcgis.com/T4QMspbfLg3qTGWY/arcgis/rest/services/Historic_Geomac_Perimeters_2016/FeatureServer/0/query?objectIds=1921&amp;outFields=%2A&amp;returnGeometry=false&amp;f=pjson" TargetMode="External"/><Relationship Id="rId113" Type="http://schemas.openxmlformats.org/officeDocument/2006/relationships/hyperlink" Target="https://doi.org/10.6084/m9.figshare.19858927.v3" TargetMode="External"/><Relationship Id="rId134" Type="http://schemas.openxmlformats.org/officeDocument/2006/relationships/hyperlink" Target="https://doi.org/10.6084/m9.figshare.19858927.v3" TargetMode="External"/><Relationship Id="rId80" Type="http://schemas.openxmlformats.org/officeDocument/2006/relationships/hyperlink" Target="https://doi.org/10.6084/m9.figshare.19858927.v3" TargetMode="External"/><Relationship Id="rId155" Type="http://schemas.openxmlformats.org/officeDocument/2006/relationships/hyperlink" Target="https://doi.org/10.6084/m9.figshare.19858927.v3" TargetMode="External"/><Relationship Id="rId176" Type="http://schemas.openxmlformats.org/officeDocument/2006/relationships/hyperlink" Target="https://doi.org/10.6084/m9.figshare.19858927.v3" TargetMode="External"/><Relationship Id="rId17" Type="http://schemas.openxmlformats.org/officeDocument/2006/relationships/hyperlink" Target="https://services3.arcgis.com/T4QMspbfLg3qTGWY/arcgis/rest/services/Historic_Geomac_Perimeters_2016/FeatureServer/0/query?objectIds=1215&amp;outFields=%2A&amp;returnGeometry=false&amp;f=pjson" TargetMode="External"/><Relationship Id="rId38" Type="http://schemas.openxmlformats.org/officeDocument/2006/relationships/hyperlink" Target="https://services3.arcgis.com/T4QMspbfLg3qTGWY/arcgis/rest/services/Historic_Geomac_Perimeters_2016/FeatureServer/0/query?objectIds=2028&amp;outFields=%2A&amp;returnGeometry=false&amp;f=pjson" TargetMode="External"/><Relationship Id="rId59" Type="http://schemas.openxmlformats.org/officeDocument/2006/relationships/hyperlink" Target="https://services3.arcgis.com/T4QMspbfLg3qTGWY/arcgis/rest/services/Historic_Geomac_Perimeters_2016/FeatureServer/0/query?objectIds=1815&amp;outFields=%2A&amp;returnGeometry=false&amp;f=pjson" TargetMode="External"/><Relationship Id="rId103" Type="http://schemas.openxmlformats.org/officeDocument/2006/relationships/hyperlink" Target="https://doi.org/10.5194/acp-23-1-2023" TargetMode="External"/><Relationship Id="rId124" Type="http://schemas.openxmlformats.org/officeDocument/2006/relationships/hyperlink" Target="https://www.frames.gov/documents/catalog/calkin_et_al_2016_PioneerFireInquiry.pdf" TargetMode="External"/><Relationship Id="rId70" Type="http://schemas.openxmlformats.org/officeDocument/2006/relationships/hyperlink" Target="https://doi.org/10.6084/m9.figshare.19858927.v3" TargetMode="External"/><Relationship Id="rId91" Type="http://schemas.openxmlformats.org/officeDocument/2006/relationships/hyperlink" Target="https://services3.arcgis.com/T4QMspbfLg3qTGWY/arcgis/rest/services/Historic_Geomac_Perimeters_2016/FeatureServer/0/query?objectIds=178&amp;outFields=%2A&amp;returnGeometry=false&amp;f=pjson" TargetMode="External"/><Relationship Id="rId145" Type="http://schemas.openxmlformats.org/officeDocument/2006/relationships/hyperlink" Target="https://services3.arcgis.com/T4QMspbfLg3qTGWY/arcgis/rest/services/Historic_Geomac_Perimeters_2016/FeatureServer/0/query?objectIds=2171&amp;outFields=%2A&amp;returnGeometry=false&amp;f=pjson" TargetMode="External"/><Relationship Id="rId166" Type="http://schemas.openxmlformats.org/officeDocument/2006/relationships/hyperlink" Target="https://doi.org/10.6084/m9.figshare.19858927.v3" TargetMode="External"/><Relationship Id="rId1" Type="http://schemas.openxmlformats.org/officeDocument/2006/relationships/hyperlink" Target="https://wildfiretoday.com/usfs-regional-fire-director-describes-the-management-of-the-pioneer-fire/" TargetMode="External"/><Relationship Id="rId28" Type="http://schemas.openxmlformats.org/officeDocument/2006/relationships/hyperlink" Target="https://doi.org/10.6084/m9.figshare.19858927.v3" TargetMode="External"/><Relationship Id="rId49" Type="http://schemas.openxmlformats.org/officeDocument/2006/relationships/hyperlink" Target="https://doi.org/10.6084/m9.figshare.19858927.v3" TargetMode="External"/><Relationship Id="rId114" Type="http://schemas.openxmlformats.org/officeDocument/2006/relationships/hyperlink" Target="https://services3.arcgis.com/T4QMspbfLg3qTGWY/arcgis/rest/services/Historic_Geomac_Perimeters_2016/FeatureServer/0/query?objectIds=2366&amp;outFields=%2A&amp;returnGeometry=false&amp;f=pjs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6084/m9.figshare.c.5601537.v1" TargetMode="External"/><Relationship Id="rId299" Type="http://schemas.openxmlformats.org/officeDocument/2006/relationships/hyperlink" Target="https://doi.org/10.5281/zenodo.14642378" TargetMode="External"/><Relationship Id="rId21" Type="http://schemas.openxmlformats.org/officeDocument/2006/relationships/hyperlink" Target="https://solano.legistar.com/View.ashx?GUID=799ECBBD-7436-4FA7-89B8-A2B43E740ABA&amp;ID=9448423&amp;M=F" TargetMode="External"/><Relationship Id="rId63" Type="http://schemas.openxmlformats.org/officeDocument/2006/relationships/hyperlink" Target="https://doi.org/10.6084/m9.figshare.19858927.v3" TargetMode="External"/><Relationship Id="rId159" Type="http://schemas.openxmlformats.org/officeDocument/2006/relationships/hyperlink" Target="https://doi.org/10.5281/zenodo.14642378" TargetMode="External"/><Relationship Id="rId324" Type="http://schemas.openxmlformats.org/officeDocument/2006/relationships/hyperlink" Target="https://doi.org/10.5281/zenodo.14642378" TargetMode="External"/><Relationship Id="rId366" Type="http://schemas.openxmlformats.org/officeDocument/2006/relationships/hyperlink" Target="https://doi.org/10.6084/m9.figshare.c.5601537.v1" TargetMode="External"/><Relationship Id="rId170" Type="http://schemas.openxmlformats.org/officeDocument/2006/relationships/hyperlink" Target="https://doi.org/10.5281/zenodo.14642378" TargetMode="External"/><Relationship Id="rId226" Type="http://schemas.openxmlformats.org/officeDocument/2006/relationships/hyperlink" Target="https://doi.org/10.6084/m9.figshare.c.5601537.v1" TargetMode="External"/><Relationship Id="rId268" Type="http://schemas.openxmlformats.org/officeDocument/2006/relationships/hyperlink" Target="https://doi.org/10.5281/zenodo.14642378" TargetMode="External"/><Relationship Id="rId32" Type="http://schemas.openxmlformats.org/officeDocument/2006/relationships/hyperlink" Target="https://doi.org/10.5281/zenodo.14642378" TargetMode="External"/><Relationship Id="rId74" Type="http://schemas.openxmlformats.org/officeDocument/2006/relationships/hyperlink" Target="https://doi.org/10.5281/zenodo.14642378" TargetMode="External"/><Relationship Id="rId128" Type="http://schemas.openxmlformats.org/officeDocument/2006/relationships/hyperlink" Target="https://doi.org/10.6084/m9.figshare.19858927.v3" TargetMode="External"/><Relationship Id="rId335" Type="http://schemas.openxmlformats.org/officeDocument/2006/relationships/hyperlink" Target="https://doi.org/10.6084/m9.figshare.c.5601537.v1" TargetMode="External"/><Relationship Id="rId377" Type="http://schemas.openxmlformats.org/officeDocument/2006/relationships/hyperlink" Target="https://doi.org/10.6084/m9.figshare.19858927.v3" TargetMode="External"/><Relationship Id="rId5" Type="http://schemas.openxmlformats.org/officeDocument/2006/relationships/hyperlink" Target="https://www.fire.ca.gov/incidents/2020/8/17/lnu-lightning-complex" TargetMode="External"/><Relationship Id="rId181" Type="http://schemas.openxmlformats.org/officeDocument/2006/relationships/hyperlink" Target="https://doi.org/10.6084/m9.figshare.c.5601537.v1" TargetMode="External"/><Relationship Id="rId237" Type="http://schemas.openxmlformats.org/officeDocument/2006/relationships/hyperlink" Target="https://doi.org/10.5281/zenodo.14642378" TargetMode="External"/><Relationship Id="rId402" Type="http://schemas.openxmlformats.org/officeDocument/2006/relationships/hyperlink" Target="https://doi.org/10.6084/m9.figshare.19858927.v3" TargetMode="External"/><Relationship Id="rId279" Type="http://schemas.openxmlformats.org/officeDocument/2006/relationships/hyperlink" Target="https://doi.org/10.5281/zenodo.14642378" TargetMode="External"/><Relationship Id="rId43" Type="http://schemas.openxmlformats.org/officeDocument/2006/relationships/hyperlink" Target="https://doi.org/10.5281/zenodo.14642378" TargetMode="External"/><Relationship Id="rId139" Type="http://schemas.openxmlformats.org/officeDocument/2006/relationships/hyperlink" Target="https://doi.org/10.5281/zenodo.14642378" TargetMode="External"/><Relationship Id="rId290" Type="http://schemas.openxmlformats.org/officeDocument/2006/relationships/hyperlink" Target="https://doi.org/10.5281/zenodo.14642378" TargetMode="External"/><Relationship Id="rId304" Type="http://schemas.openxmlformats.org/officeDocument/2006/relationships/hyperlink" Target="https://doi.org/10.5281/zenodo.14642378" TargetMode="External"/><Relationship Id="rId346" Type="http://schemas.openxmlformats.org/officeDocument/2006/relationships/hyperlink" Target="https://doi.org/10.5281/zenodo.14642378" TargetMode="External"/><Relationship Id="rId388" Type="http://schemas.openxmlformats.org/officeDocument/2006/relationships/hyperlink" Target="https://doi.org/10.6084/m9.figshare.19858927.v3" TargetMode="External"/><Relationship Id="rId85" Type="http://schemas.openxmlformats.org/officeDocument/2006/relationships/hyperlink" Target="https://doi.org/10.6084/m9.figshare.c.5601537.v1" TargetMode="External"/><Relationship Id="rId150" Type="http://schemas.openxmlformats.org/officeDocument/2006/relationships/hyperlink" Target="https://doi.org/10.6084/m9.figshare.c.5601537.v1" TargetMode="External"/><Relationship Id="rId192" Type="http://schemas.openxmlformats.org/officeDocument/2006/relationships/hyperlink" Target="https://doi.org/10.5281/zenodo.14642378" TargetMode="External"/><Relationship Id="rId206" Type="http://schemas.openxmlformats.org/officeDocument/2006/relationships/hyperlink" Target="https://doi.org/10.5281/zenodo.14642378" TargetMode="External"/><Relationship Id="rId248" Type="http://schemas.openxmlformats.org/officeDocument/2006/relationships/hyperlink" Target="https://doi.org/10.5281/zenodo.14642378" TargetMode="External"/><Relationship Id="rId12" Type="http://schemas.openxmlformats.org/officeDocument/2006/relationships/hyperlink" Target="https://doi.org/10.5281/zenodo.14642378" TargetMode="External"/><Relationship Id="rId108" Type="http://schemas.openxmlformats.org/officeDocument/2006/relationships/hyperlink" Target="https://doi.org/10.5281/zenodo.14642378" TargetMode="External"/><Relationship Id="rId315" Type="http://schemas.openxmlformats.org/officeDocument/2006/relationships/hyperlink" Target="https://doi.org/10.5281/zenodo.14642378" TargetMode="External"/><Relationship Id="rId357" Type="http://schemas.openxmlformats.org/officeDocument/2006/relationships/hyperlink" Target="https://doi.org/10.6084/m9.figshare.19858927.v3" TargetMode="External"/><Relationship Id="rId54" Type="http://schemas.openxmlformats.org/officeDocument/2006/relationships/hyperlink" Target="https://doi.org/10.5281/zenodo.14642378" TargetMode="External"/><Relationship Id="rId96" Type="http://schemas.openxmlformats.org/officeDocument/2006/relationships/hyperlink" Target="https://doi.org/10.5281/zenodo.14642378" TargetMode="External"/><Relationship Id="rId161" Type="http://schemas.openxmlformats.org/officeDocument/2006/relationships/hyperlink" Target="https://doi.org/10.6084/m9.figshare.19858927.v3" TargetMode="External"/><Relationship Id="rId217" Type="http://schemas.openxmlformats.org/officeDocument/2006/relationships/hyperlink" Target="https://doi.org/10.5281/zenodo.14642378" TargetMode="External"/><Relationship Id="rId399" Type="http://schemas.openxmlformats.org/officeDocument/2006/relationships/hyperlink" Target="https://doi.org/10.6084/m9.figshare.19858927.v3" TargetMode="External"/><Relationship Id="rId259" Type="http://schemas.openxmlformats.org/officeDocument/2006/relationships/hyperlink" Target="https://doi.org/10.5281/zenodo.14642378" TargetMode="External"/><Relationship Id="rId23" Type="http://schemas.openxmlformats.org/officeDocument/2006/relationships/hyperlink" Target="https://doi.org/10.6084/m9.figshare.c.5601537.v1" TargetMode="External"/><Relationship Id="rId119" Type="http://schemas.openxmlformats.org/officeDocument/2006/relationships/hyperlink" Target="https://doi.org/10.6084/m9.figshare.c.5601537.v1" TargetMode="External"/><Relationship Id="rId270" Type="http://schemas.openxmlformats.org/officeDocument/2006/relationships/hyperlink" Target="https://doi.org/10.6084/m9.figshare.c.5601537.v1" TargetMode="External"/><Relationship Id="rId326" Type="http://schemas.openxmlformats.org/officeDocument/2006/relationships/hyperlink" Target="https://doi.org/10.6084/m9.figshare.19858927.v3" TargetMode="External"/><Relationship Id="rId65" Type="http://schemas.openxmlformats.org/officeDocument/2006/relationships/hyperlink" Target="https://doi.org/10.5281/zenodo.14642378" TargetMode="External"/><Relationship Id="rId130" Type="http://schemas.openxmlformats.org/officeDocument/2006/relationships/hyperlink" Target="https://doi.org/10.5281/zenodo.14642378" TargetMode="External"/><Relationship Id="rId368" Type="http://schemas.openxmlformats.org/officeDocument/2006/relationships/hyperlink" Target="https://doi.org/10.6084/m9.figshare.c.5601537.v1" TargetMode="External"/><Relationship Id="rId172" Type="http://schemas.openxmlformats.org/officeDocument/2006/relationships/hyperlink" Target="https://doi.org/10.5281/zenodo.14642378" TargetMode="External"/><Relationship Id="rId228" Type="http://schemas.openxmlformats.org/officeDocument/2006/relationships/hyperlink" Target="https://doi.org/10.5281/zenodo.14642378" TargetMode="External"/><Relationship Id="rId281" Type="http://schemas.openxmlformats.org/officeDocument/2006/relationships/hyperlink" Target="https://doi.org/10.6084/m9.figshare.19858927.v3" TargetMode="External"/><Relationship Id="rId337" Type="http://schemas.openxmlformats.org/officeDocument/2006/relationships/hyperlink" Target="https://doi.org/10.5281/zenodo.14642378" TargetMode="External"/><Relationship Id="rId34" Type="http://schemas.openxmlformats.org/officeDocument/2006/relationships/hyperlink" Target="https://doi.org/10.5281/zenodo.14642378" TargetMode="External"/><Relationship Id="rId76" Type="http://schemas.openxmlformats.org/officeDocument/2006/relationships/hyperlink" Target="https://doi.org/10.5281/zenodo.14642378" TargetMode="External"/><Relationship Id="rId141" Type="http://schemas.openxmlformats.org/officeDocument/2006/relationships/hyperlink" Target="https://doi.org/10.5281/zenodo.14642378" TargetMode="External"/><Relationship Id="rId379" Type="http://schemas.openxmlformats.org/officeDocument/2006/relationships/hyperlink" Target="https://doi.org/10.6084/m9.figshare.19858927.v3" TargetMode="External"/><Relationship Id="rId7" Type="http://schemas.openxmlformats.org/officeDocument/2006/relationships/hyperlink" Target="https://doi.org/10.5281/zenodo.14642378" TargetMode="External"/><Relationship Id="rId183" Type="http://schemas.openxmlformats.org/officeDocument/2006/relationships/hyperlink" Target="https://doi.org/10.5281/zenodo.14642378" TargetMode="External"/><Relationship Id="rId239" Type="http://schemas.openxmlformats.org/officeDocument/2006/relationships/hyperlink" Target="https://doi.org/10.5281/zenodo.14642378" TargetMode="External"/><Relationship Id="rId390" Type="http://schemas.openxmlformats.org/officeDocument/2006/relationships/hyperlink" Target="https://doi.org/10.6084/m9.figshare.19858927.v3" TargetMode="External"/><Relationship Id="rId404" Type="http://schemas.openxmlformats.org/officeDocument/2006/relationships/hyperlink" Target="https://lakeconews.com/news/66725-officials-lnu-lightning-complex-expected-to-be-fully-contained-at-start-of-october" TargetMode="External"/><Relationship Id="rId250" Type="http://schemas.openxmlformats.org/officeDocument/2006/relationships/hyperlink" Target="https://doi.org/10.6084/m9.figshare.19858927.v3" TargetMode="External"/><Relationship Id="rId292" Type="http://schemas.openxmlformats.org/officeDocument/2006/relationships/hyperlink" Target="https://doi.org/10.5281/zenodo.14642378" TargetMode="External"/><Relationship Id="rId306" Type="http://schemas.openxmlformats.org/officeDocument/2006/relationships/hyperlink" Target="https://doi.org/10.5281/zenodo.14642378" TargetMode="External"/><Relationship Id="rId45" Type="http://schemas.openxmlformats.org/officeDocument/2006/relationships/hyperlink" Target="https://doi.org/10.5281/zenodo.14642378" TargetMode="External"/><Relationship Id="rId87" Type="http://schemas.openxmlformats.org/officeDocument/2006/relationships/hyperlink" Target="https://doi.org/10.5281/zenodo.14642378" TargetMode="External"/><Relationship Id="rId110" Type="http://schemas.openxmlformats.org/officeDocument/2006/relationships/hyperlink" Target="https://doi.org/10.5281/zenodo.14642378" TargetMode="External"/><Relationship Id="rId348" Type="http://schemas.openxmlformats.org/officeDocument/2006/relationships/hyperlink" Target="https://doi.org/10.5281/zenodo.14642378" TargetMode="External"/><Relationship Id="rId152" Type="http://schemas.openxmlformats.org/officeDocument/2006/relationships/hyperlink" Target="https://doi.org/10.5281/zenodo.14642378" TargetMode="External"/><Relationship Id="rId194" Type="http://schemas.openxmlformats.org/officeDocument/2006/relationships/hyperlink" Target="https://doi.org/10.5281/zenodo.14642378" TargetMode="External"/><Relationship Id="rId208" Type="http://schemas.openxmlformats.org/officeDocument/2006/relationships/hyperlink" Target="https://doi.org/10.5281/zenodo.14642378" TargetMode="External"/><Relationship Id="rId261" Type="http://schemas.openxmlformats.org/officeDocument/2006/relationships/hyperlink" Target="https://doi.org/10.5281/zenodo.14642378" TargetMode="External"/><Relationship Id="rId14" Type="http://schemas.openxmlformats.org/officeDocument/2006/relationships/hyperlink" Target="https://doi.org/10.5281/zenodo.14642378" TargetMode="External"/><Relationship Id="rId56" Type="http://schemas.openxmlformats.org/officeDocument/2006/relationships/hyperlink" Target="https://doi.org/10.5281/zenodo.14642378" TargetMode="External"/><Relationship Id="rId317" Type="http://schemas.openxmlformats.org/officeDocument/2006/relationships/hyperlink" Target="https://doi.org/10.6084/m9.figshare.c.5601537.v1" TargetMode="External"/><Relationship Id="rId359" Type="http://schemas.openxmlformats.org/officeDocument/2006/relationships/hyperlink" Target="https://doi.org/10.6084/m9.figshare.19858927.v3" TargetMode="External"/><Relationship Id="rId98" Type="http://schemas.openxmlformats.org/officeDocument/2006/relationships/hyperlink" Target="https://doi.org/10.5281/zenodo.14642378" TargetMode="External"/><Relationship Id="rId121" Type="http://schemas.openxmlformats.org/officeDocument/2006/relationships/hyperlink" Target="https://doi.org/10.5281/zenodo.14642378" TargetMode="External"/><Relationship Id="rId163" Type="http://schemas.openxmlformats.org/officeDocument/2006/relationships/hyperlink" Target="https://doi.org/10.5281/zenodo.14642378" TargetMode="External"/><Relationship Id="rId219" Type="http://schemas.openxmlformats.org/officeDocument/2006/relationships/hyperlink" Target="https://doi.org/10.5281/zenodo.14642378" TargetMode="External"/><Relationship Id="rId370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230" Type="http://schemas.openxmlformats.org/officeDocument/2006/relationships/hyperlink" Target="https://doi.org/10.5281/zenodo.14642378" TargetMode="External"/><Relationship Id="rId25" Type="http://schemas.openxmlformats.org/officeDocument/2006/relationships/hyperlink" Target="https://doi.org/10.5281/zenodo.14642378" TargetMode="External"/><Relationship Id="rId67" Type="http://schemas.openxmlformats.org/officeDocument/2006/relationships/hyperlink" Target="https://doi.org/10.6084/m9.figshare.c.5601537.v1" TargetMode="External"/><Relationship Id="rId272" Type="http://schemas.openxmlformats.org/officeDocument/2006/relationships/hyperlink" Target="https://doi.org/10.5281/zenodo.14642378" TargetMode="External"/><Relationship Id="rId328" Type="http://schemas.openxmlformats.org/officeDocument/2006/relationships/hyperlink" Target="https://doi.org/10.5281/zenodo.14642378" TargetMode="External"/><Relationship Id="rId132" Type="http://schemas.openxmlformats.org/officeDocument/2006/relationships/hyperlink" Target="https://doi.org/10.5281/zenodo.14642378" TargetMode="External"/><Relationship Id="rId174" Type="http://schemas.openxmlformats.org/officeDocument/2006/relationships/hyperlink" Target="https://doi.org/10.5281/zenodo.14642378" TargetMode="External"/><Relationship Id="rId381" Type="http://schemas.openxmlformats.org/officeDocument/2006/relationships/hyperlink" Target="https://doi.org/10.6084/m9.figshare.19858927.v3" TargetMode="External"/><Relationship Id="rId241" Type="http://schemas.openxmlformats.org/officeDocument/2006/relationships/hyperlink" Target="https://doi.org/10.6084/m9.figshare.c.5601537.v1" TargetMode="External"/><Relationship Id="rId36" Type="http://schemas.openxmlformats.org/officeDocument/2006/relationships/hyperlink" Target="https://doi.org/10.6084/m9.figshare.c.5601537.v1" TargetMode="External"/><Relationship Id="rId283" Type="http://schemas.openxmlformats.org/officeDocument/2006/relationships/hyperlink" Target="https://doi.org/10.5281/zenodo.14642378" TargetMode="External"/><Relationship Id="rId339" Type="http://schemas.openxmlformats.org/officeDocument/2006/relationships/hyperlink" Target="https://doi.org/10.5281/zenodo.14642378" TargetMode="External"/><Relationship Id="rId78" Type="http://schemas.openxmlformats.org/officeDocument/2006/relationships/hyperlink" Target="https://doi.org/10.6084/m9.figshare.19858927.v3" TargetMode="External"/><Relationship Id="rId101" Type="http://schemas.openxmlformats.org/officeDocument/2006/relationships/hyperlink" Target="https://doi.org/10.6084/m9.figshare.c.5601537.v1" TargetMode="External"/><Relationship Id="rId143" Type="http://schemas.openxmlformats.org/officeDocument/2006/relationships/hyperlink" Target="https://doi.org/10.5281/zenodo.14642378" TargetMode="External"/><Relationship Id="rId185" Type="http://schemas.openxmlformats.org/officeDocument/2006/relationships/hyperlink" Target="https://doi.org/10.5281/zenodo.14642378" TargetMode="External"/><Relationship Id="rId350" Type="http://schemas.openxmlformats.org/officeDocument/2006/relationships/hyperlink" Target="https://doi.org/10.6084/m9.figshare.c.5601537.v1" TargetMode="External"/><Relationship Id="rId406" Type="http://schemas.openxmlformats.org/officeDocument/2006/relationships/hyperlink" Target="https://lakeconews.com/news/66725-officials-lnu-lightning-complex-expected-to-be-fully-contained-at-start-of-october" TargetMode="External"/><Relationship Id="rId9" Type="http://schemas.openxmlformats.org/officeDocument/2006/relationships/hyperlink" Target="https://doi.org/10.5281/zenodo.14642378" TargetMode="External"/><Relationship Id="rId210" Type="http://schemas.openxmlformats.org/officeDocument/2006/relationships/hyperlink" Target="https://doi.org/10.6084/m9.figshare.c.5601537.v1" TargetMode="External"/><Relationship Id="rId392" Type="http://schemas.openxmlformats.org/officeDocument/2006/relationships/hyperlink" Target="https://doi.org/10.6084/m9.figshare.19858927.v3" TargetMode="External"/><Relationship Id="rId252" Type="http://schemas.openxmlformats.org/officeDocument/2006/relationships/hyperlink" Target="https://doi.org/10.5281/zenodo.14642378" TargetMode="External"/><Relationship Id="rId294" Type="http://schemas.openxmlformats.org/officeDocument/2006/relationships/hyperlink" Target="https://doi.org/10.5281/zenodo.14642378" TargetMode="External"/><Relationship Id="rId308" Type="http://schemas.openxmlformats.org/officeDocument/2006/relationships/hyperlink" Target="https://doi.org/10.5281/zenodo.14642378" TargetMode="External"/><Relationship Id="rId47" Type="http://schemas.openxmlformats.org/officeDocument/2006/relationships/hyperlink" Target="https://doi.org/10.5281/zenodo.14642378" TargetMode="External"/><Relationship Id="rId89" Type="http://schemas.openxmlformats.org/officeDocument/2006/relationships/hyperlink" Target="https://doi.org/10.5281/zenodo.14642378" TargetMode="External"/><Relationship Id="rId112" Type="http://schemas.openxmlformats.org/officeDocument/2006/relationships/hyperlink" Target="https://doi.org/10.6084/m9.figshare.19858927.v3" TargetMode="External"/><Relationship Id="rId154" Type="http://schemas.openxmlformats.org/officeDocument/2006/relationships/hyperlink" Target="https://doi.org/10.5281/zenodo.14642378" TargetMode="External"/><Relationship Id="rId361" Type="http://schemas.openxmlformats.org/officeDocument/2006/relationships/hyperlink" Target="https://doi.org/10.6084/m9.figshare.19858927.v3" TargetMode="External"/><Relationship Id="rId196" Type="http://schemas.openxmlformats.org/officeDocument/2006/relationships/hyperlink" Target="https://doi.org/10.6084/m9.figshare.c.5601537.v1" TargetMode="External"/><Relationship Id="rId16" Type="http://schemas.openxmlformats.org/officeDocument/2006/relationships/hyperlink" Target="https://doi.org/10.5281/zenodo.14642378" TargetMode="External"/><Relationship Id="rId221" Type="http://schemas.openxmlformats.org/officeDocument/2006/relationships/hyperlink" Target="https://doi.org/10.5281/zenodo.14642378" TargetMode="External"/><Relationship Id="rId263" Type="http://schemas.openxmlformats.org/officeDocument/2006/relationships/hyperlink" Target="https://doi.org/10.5281/zenodo.14642378" TargetMode="External"/><Relationship Id="rId319" Type="http://schemas.openxmlformats.org/officeDocument/2006/relationships/hyperlink" Target="https://doi.org/10.5281/zenodo.14642378" TargetMode="External"/><Relationship Id="rId58" Type="http://schemas.openxmlformats.org/officeDocument/2006/relationships/hyperlink" Target="https://doi.org/10.5281/zenodo.14642378" TargetMode="External"/><Relationship Id="rId123" Type="http://schemas.openxmlformats.org/officeDocument/2006/relationships/hyperlink" Target="https://doi.org/10.5281/zenodo.14642378" TargetMode="External"/><Relationship Id="rId330" Type="http://schemas.openxmlformats.org/officeDocument/2006/relationships/hyperlink" Target="https://doi.org/10.5281/zenodo.14642378" TargetMode="External"/><Relationship Id="rId165" Type="http://schemas.openxmlformats.org/officeDocument/2006/relationships/hyperlink" Target="https://doi.org/10.6084/m9.figshare.c.5601537.v1" TargetMode="External"/><Relationship Id="rId372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232" Type="http://schemas.openxmlformats.org/officeDocument/2006/relationships/hyperlink" Target="https://doi.org/10.5281/zenodo.14642378" TargetMode="External"/><Relationship Id="rId274" Type="http://schemas.openxmlformats.org/officeDocument/2006/relationships/hyperlink" Target="https://doi.org/10.5281/zenodo.14642378" TargetMode="External"/><Relationship Id="rId27" Type="http://schemas.openxmlformats.org/officeDocument/2006/relationships/hyperlink" Target="https://doi.org/10.5281/zenodo.14642378" TargetMode="External"/><Relationship Id="rId48" Type="http://schemas.openxmlformats.org/officeDocument/2006/relationships/hyperlink" Target="https://doi.org/10.5281/zenodo.14642378" TargetMode="External"/><Relationship Id="rId69" Type="http://schemas.openxmlformats.org/officeDocument/2006/relationships/hyperlink" Target="https://doi.org/10.6084/m9.figshare.c.5601537.v1" TargetMode="External"/><Relationship Id="rId113" Type="http://schemas.openxmlformats.org/officeDocument/2006/relationships/hyperlink" Target="https://doi.org/10.5281/zenodo.14642378" TargetMode="External"/><Relationship Id="rId134" Type="http://schemas.openxmlformats.org/officeDocument/2006/relationships/hyperlink" Target="https://doi.org/10.6084/m9.figshare.c.5601537.v1" TargetMode="External"/><Relationship Id="rId320" Type="http://schemas.openxmlformats.org/officeDocument/2006/relationships/hyperlink" Target="https://doi.org/10.5281/zenodo.14642378" TargetMode="External"/><Relationship Id="rId80" Type="http://schemas.openxmlformats.org/officeDocument/2006/relationships/hyperlink" Target="https://doi.org/10.5281/zenodo.14642378" TargetMode="External"/><Relationship Id="rId155" Type="http://schemas.openxmlformats.org/officeDocument/2006/relationships/hyperlink" Target="https://doi.org/10.5281/zenodo.14642378" TargetMode="External"/><Relationship Id="rId176" Type="http://schemas.openxmlformats.org/officeDocument/2006/relationships/hyperlink" Target="https://doi.org/10.5281/zenodo.14642378" TargetMode="External"/><Relationship Id="rId197" Type="http://schemas.openxmlformats.org/officeDocument/2006/relationships/hyperlink" Target="https://doi.org/10.5281/zenodo.14642378" TargetMode="External"/><Relationship Id="rId341" Type="http://schemas.openxmlformats.org/officeDocument/2006/relationships/hyperlink" Target="https://doi.org/10.5281/zenodo.14642378" TargetMode="External"/><Relationship Id="rId362" Type="http://schemas.openxmlformats.org/officeDocument/2006/relationships/hyperlink" Target="https://doi.org/10.6084/m9.figshare.c.5601537.v1" TargetMode="External"/><Relationship Id="rId383" Type="http://schemas.openxmlformats.org/officeDocument/2006/relationships/hyperlink" Target="https://doi.org/10.6084/m9.figshare.19858927.v3" TargetMode="External"/><Relationship Id="rId201" Type="http://schemas.openxmlformats.org/officeDocument/2006/relationships/hyperlink" Target="https://doi.org/10.5281/zenodo.14642378" TargetMode="External"/><Relationship Id="rId222" Type="http://schemas.openxmlformats.org/officeDocument/2006/relationships/hyperlink" Target="https://doi.org/10.5281/zenodo.14642378" TargetMode="External"/><Relationship Id="rId243" Type="http://schemas.openxmlformats.org/officeDocument/2006/relationships/hyperlink" Target="https://doi.org/10.5281/zenodo.14642378" TargetMode="External"/><Relationship Id="rId264" Type="http://schemas.openxmlformats.org/officeDocument/2006/relationships/hyperlink" Target="https://doi.org/10.5281/zenodo.14642378" TargetMode="External"/><Relationship Id="rId285" Type="http://schemas.openxmlformats.org/officeDocument/2006/relationships/hyperlink" Target="https://doi.org/10.5281/zenodo.14642378" TargetMode="External"/><Relationship Id="rId17" Type="http://schemas.openxmlformats.org/officeDocument/2006/relationships/hyperlink" Target="https://doi.org/10.5281/zenodo.14642378" TargetMode="External"/><Relationship Id="rId38" Type="http://schemas.openxmlformats.org/officeDocument/2006/relationships/hyperlink" Target="https://doi.org/10.5281/zenodo.14642378" TargetMode="External"/><Relationship Id="rId59" Type="http://schemas.openxmlformats.org/officeDocument/2006/relationships/hyperlink" Target="https://doi.org/10.5281/zenodo.14642378" TargetMode="External"/><Relationship Id="rId103" Type="http://schemas.openxmlformats.org/officeDocument/2006/relationships/hyperlink" Target="https://doi.org/10.5281/zenodo.14642378" TargetMode="External"/><Relationship Id="rId124" Type="http://schemas.openxmlformats.org/officeDocument/2006/relationships/hyperlink" Target="https://doi.org/10.5281/zenodo.14642378" TargetMode="External"/><Relationship Id="rId310" Type="http://schemas.openxmlformats.org/officeDocument/2006/relationships/hyperlink" Target="https://doi.org/10.5281/zenodo.14642378" TargetMode="External"/><Relationship Id="rId70" Type="http://schemas.openxmlformats.org/officeDocument/2006/relationships/hyperlink" Target="https://doi.org/10.5281/zenodo.14642378" TargetMode="External"/><Relationship Id="rId91" Type="http://schemas.openxmlformats.org/officeDocument/2006/relationships/hyperlink" Target="https://doi.org/10.5281/zenodo.14642378" TargetMode="External"/><Relationship Id="rId145" Type="http://schemas.openxmlformats.org/officeDocument/2006/relationships/hyperlink" Target="https://doi.org/10.5281/zenodo.14642378" TargetMode="External"/><Relationship Id="rId166" Type="http://schemas.openxmlformats.org/officeDocument/2006/relationships/hyperlink" Target="https://doi.org/10.6084/m9.figshare.c.5601537.v1" TargetMode="External"/><Relationship Id="rId187" Type="http://schemas.openxmlformats.org/officeDocument/2006/relationships/hyperlink" Target="https://doi.org/10.5281/zenodo.14642378" TargetMode="External"/><Relationship Id="rId331" Type="http://schemas.openxmlformats.org/officeDocument/2006/relationships/hyperlink" Target="https://services1.arcgis.com/jUJYIo9tSA7EHvfZ/arcgis/rest/services/LNU_Complex_Perimeter_20200828/FeatureServer/0/query?objectIds=1&amp;outFields=%2A&amp;returnGeometry=false&amp;f=pjson" TargetMode="External"/><Relationship Id="rId352" Type="http://schemas.openxmlformats.org/officeDocument/2006/relationships/hyperlink" Target="https://doi.org/10.5281/zenodo.14642378" TargetMode="External"/><Relationship Id="rId373" Type="http://schemas.openxmlformats.org/officeDocument/2006/relationships/hyperlink" Target="https://doi.org/10.6084/m9.figshare.19858927.v3" TargetMode="External"/><Relationship Id="rId394" Type="http://schemas.openxmlformats.org/officeDocument/2006/relationships/hyperlink" Target="https://doi.org/10.6084/m9.figshare.19858927.v3" TargetMode="External"/><Relationship Id="rId408" Type="http://schemas.openxmlformats.org/officeDocument/2006/relationships/hyperlink" Target="https://doi.org/10.6084/m9.figshare.19858927.v3" TargetMode="External"/><Relationship Id="rId1" Type="http://schemas.openxmlformats.org/officeDocument/2006/relationships/hyperlink" Target="https://solano.legistar.com/View.ashx?GUID=799ECBBD-7436-4FA7-89B8-A2B43E740ABA&amp;ID=9448423&amp;M=F" TargetMode="External"/><Relationship Id="rId212" Type="http://schemas.openxmlformats.org/officeDocument/2006/relationships/hyperlink" Target="https://doi.org/10.5281/zenodo.14642378" TargetMode="External"/><Relationship Id="rId233" Type="http://schemas.openxmlformats.org/officeDocument/2006/relationships/hyperlink" Target="https://doi.org/10.5281/zenodo.14642378" TargetMode="External"/><Relationship Id="rId254" Type="http://schemas.openxmlformats.org/officeDocument/2006/relationships/hyperlink" Target="https://doi.org/10.5281/zenodo.14642378" TargetMode="External"/><Relationship Id="rId28" Type="http://schemas.openxmlformats.org/officeDocument/2006/relationships/hyperlink" Target="https://doi.org/10.5281/zenodo.14642378" TargetMode="External"/><Relationship Id="rId49" Type="http://schemas.openxmlformats.org/officeDocument/2006/relationships/hyperlink" Target="https://doi.org/10.5281/zenodo.14642378" TargetMode="External"/><Relationship Id="rId114" Type="http://schemas.openxmlformats.org/officeDocument/2006/relationships/hyperlink" Target="https://doi.org/10.6084/m9.figshare.19858927.v3" TargetMode="External"/><Relationship Id="rId275" Type="http://schemas.openxmlformats.org/officeDocument/2006/relationships/hyperlink" Target="https://doi.org/10.5281/zenodo.14642378" TargetMode="External"/><Relationship Id="rId296" Type="http://schemas.openxmlformats.org/officeDocument/2006/relationships/hyperlink" Target="https://doi.org/10.6084/m9.figshare.19858927.v3" TargetMode="External"/><Relationship Id="rId300" Type="http://schemas.openxmlformats.org/officeDocument/2006/relationships/hyperlink" Target="https://doi.org/10.5281/zenodo.14642378" TargetMode="External"/><Relationship Id="rId60" Type="http://schemas.openxmlformats.org/officeDocument/2006/relationships/hyperlink" Target="https://doi.org/10.5281/zenodo.14642378" TargetMode="External"/><Relationship Id="rId81" Type="http://schemas.openxmlformats.org/officeDocument/2006/relationships/hyperlink" Target="https://doi.org/10.5281/zenodo.14642378" TargetMode="External"/><Relationship Id="rId135" Type="http://schemas.openxmlformats.org/officeDocument/2006/relationships/hyperlink" Target="https://doi.org/10.6084/m9.figshare.c.5601537.v1" TargetMode="External"/><Relationship Id="rId156" Type="http://schemas.openxmlformats.org/officeDocument/2006/relationships/hyperlink" Target="https://doi.org/10.5281/zenodo.14642378" TargetMode="External"/><Relationship Id="rId177" Type="http://schemas.openxmlformats.org/officeDocument/2006/relationships/hyperlink" Target="https://doi.org/10.5281/zenodo.14642378" TargetMode="External"/><Relationship Id="rId198" Type="http://schemas.openxmlformats.org/officeDocument/2006/relationships/hyperlink" Target="https://doi.org/10.5281/zenodo.14642378" TargetMode="External"/><Relationship Id="rId321" Type="http://schemas.openxmlformats.org/officeDocument/2006/relationships/hyperlink" Target="https://doi.org/10.5281/zenodo.14642378" TargetMode="External"/><Relationship Id="rId342" Type="http://schemas.openxmlformats.org/officeDocument/2006/relationships/hyperlink" Target="https://doi.org/10.5281/zenodo.14642378" TargetMode="External"/><Relationship Id="rId363" Type="http://schemas.openxmlformats.org/officeDocument/2006/relationships/hyperlink" Target="https://doi.org/10.6084/m9.figshare.19858927.v3" TargetMode="External"/><Relationship Id="rId384" Type="http://schemas.openxmlformats.org/officeDocument/2006/relationships/hyperlink" Target="https://doi.org/10.6084/m9.figshare.19858927.v3" TargetMode="External"/><Relationship Id="rId202" Type="http://schemas.openxmlformats.org/officeDocument/2006/relationships/hyperlink" Target="https://doi.org/10.5281/zenodo.14642378" TargetMode="External"/><Relationship Id="rId223" Type="http://schemas.openxmlformats.org/officeDocument/2006/relationships/hyperlink" Target="https://doi.org/10.5281/zenodo.14642378" TargetMode="External"/><Relationship Id="rId244" Type="http://schemas.openxmlformats.org/officeDocument/2006/relationships/hyperlink" Target="https://doi.org/10.5281/zenodo.14642378" TargetMode="External"/><Relationship Id="rId18" Type="http://schemas.openxmlformats.org/officeDocument/2006/relationships/hyperlink" Target="https://doi.org/10.5281/zenodo.14642378" TargetMode="External"/><Relationship Id="rId39" Type="http://schemas.openxmlformats.org/officeDocument/2006/relationships/hyperlink" Target="https://doi.org/10.5281/zenodo.14642378" TargetMode="External"/><Relationship Id="rId265" Type="http://schemas.openxmlformats.org/officeDocument/2006/relationships/hyperlink" Target="https://doi.org/10.6084/m9.figshare.19858927.v3" TargetMode="External"/><Relationship Id="rId286" Type="http://schemas.openxmlformats.org/officeDocument/2006/relationships/hyperlink" Target="https://doi.org/10.6084/m9.figshare.c.5601537.v1" TargetMode="External"/><Relationship Id="rId50" Type="http://schemas.openxmlformats.org/officeDocument/2006/relationships/hyperlink" Target="https://doi.org/10.6084/m9.figshare.c.5601537.v1" TargetMode="External"/><Relationship Id="rId104" Type="http://schemas.openxmlformats.org/officeDocument/2006/relationships/hyperlink" Target="https://doi.org/10.5281/zenodo.14642378" TargetMode="External"/><Relationship Id="rId125" Type="http://schemas.openxmlformats.org/officeDocument/2006/relationships/hyperlink" Target="https://doi.org/10.5281/zenodo.14642378" TargetMode="External"/><Relationship Id="rId146" Type="http://schemas.openxmlformats.org/officeDocument/2006/relationships/hyperlink" Target="https://doi.org/10.5281/zenodo.14642378" TargetMode="External"/><Relationship Id="rId167" Type="http://schemas.openxmlformats.org/officeDocument/2006/relationships/hyperlink" Target="https://doi.org/10.5281/zenodo.14642378" TargetMode="External"/><Relationship Id="rId188" Type="http://schemas.openxmlformats.org/officeDocument/2006/relationships/hyperlink" Target="https://doi.org/10.5281/zenodo.14642378" TargetMode="External"/><Relationship Id="rId311" Type="http://schemas.openxmlformats.org/officeDocument/2006/relationships/hyperlink" Target="https://doi.org/10.6084/m9.figshare.19858927.v3" TargetMode="External"/><Relationship Id="rId332" Type="http://schemas.openxmlformats.org/officeDocument/2006/relationships/hyperlink" Target="https://services1.arcgis.com/jUJYIo9tSA7EHvfZ/arcgis/rest/services/LNU_Complex_Perimeter_20200828/FeatureServer/0/query?objectIds=2&amp;outFields=%2A&amp;returnGeometry=false&amp;f=pjson" TargetMode="External"/><Relationship Id="rId353" Type="http://schemas.openxmlformats.org/officeDocument/2006/relationships/hyperlink" Target="https://doi.org/10.5281/zenodo.14642378" TargetMode="External"/><Relationship Id="rId374" Type="http://schemas.openxmlformats.org/officeDocument/2006/relationships/hyperlink" Target="https://doi.org/10.6084/m9.figshare.c.5601537.v1" TargetMode="External"/><Relationship Id="rId395" Type="http://schemas.openxmlformats.org/officeDocument/2006/relationships/hyperlink" Target="https://doi.org/10.6084/m9.figshare.19858927.v3" TargetMode="External"/><Relationship Id="rId409" Type="http://schemas.openxmlformats.org/officeDocument/2006/relationships/hyperlink" Target="https://doi.org/10.6084/m9.figshare.19858927.v3" TargetMode="External"/><Relationship Id="rId71" Type="http://schemas.openxmlformats.org/officeDocument/2006/relationships/hyperlink" Target="https://doi.org/10.5281/zenodo.14642378" TargetMode="External"/><Relationship Id="rId92" Type="http://schemas.openxmlformats.org/officeDocument/2006/relationships/hyperlink" Target="https://doi.org/10.5281/zenodo.14642378" TargetMode="External"/><Relationship Id="rId213" Type="http://schemas.openxmlformats.org/officeDocument/2006/relationships/hyperlink" Target="https://doi.org/10.5281/zenodo.14642378" TargetMode="External"/><Relationship Id="rId234" Type="http://schemas.openxmlformats.org/officeDocument/2006/relationships/hyperlink" Target="https://doi.org/10.5281/zenodo.14642378" TargetMode="External"/><Relationship Id="rId2" Type="http://schemas.openxmlformats.org/officeDocument/2006/relationships/hyperlink" Target="https://www.mdpi.com/2072-4292/13/11/2203" TargetMode="External"/><Relationship Id="rId29" Type="http://schemas.openxmlformats.org/officeDocument/2006/relationships/hyperlink" Target="https://doi.org/10.5281/zenodo.14642378" TargetMode="External"/><Relationship Id="rId255" Type="http://schemas.openxmlformats.org/officeDocument/2006/relationships/hyperlink" Target="https://doi.org/10.6084/m9.figshare.c.5601537.v1" TargetMode="External"/><Relationship Id="rId276" Type="http://schemas.openxmlformats.org/officeDocument/2006/relationships/hyperlink" Target="https://doi.org/10.5281/zenodo.14642378" TargetMode="External"/><Relationship Id="rId297" Type="http://schemas.openxmlformats.org/officeDocument/2006/relationships/hyperlink" Target="https://doi.org/10.5281/zenodo.14642378" TargetMode="External"/><Relationship Id="rId40" Type="http://schemas.openxmlformats.org/officeDocument/2006/relationships/hyperlink" Target="https://doi.org/10.5281/zenodo.14642378" TargetMode="External"/><Relationship Id="rId115" Type="http://schemas.openxmlformats.org/officeDocument/2006/relationships/hyperlink" Target="https://doi.org/10.5281/zenodo.14642378" TargetMode="External"/><Relationship Id="rId136" Type="http://schemas.openxmlformats.org/officeDocument/2006/relationships/hyperlink" Target="https://doi.org/10.5281/zenodo.14642378" TargetMode="External"/><Relationship Id="rId157" Type="http://schemas.openxmlformats.org/officeDocument/2006/relationships/hyperlink" Target="https://doi.org/10.5281/zenodo.14642378" TargetMode="External"/><Relationship Id="rId178" Type="http://schemas.openxmlformats.org/officeDocument/2006/relationships/hyperlink" Target="https://doi.org/10.5281/zenodo.14642378" TargetMode="External"/><Relationship Id="rId301" Type="http://schemas.openxmlformats.org/officeDocument/2006/relationships/hyperlink" Target="https://doi.org/10.6084/m9.figshare.c.5601537.v1" TargetMode="External"/><Relationship Id="rId322" Type="http://schemas.openxmlformats.org/officeDocument/2006/relationships/hyperlink" Target="https://doi.org/10.5281/zenodo.14642378" TargetMode="External"/><Relationship Id="rId343" Type="http://schemas.openxmlformats.org/officeDocument/2006/relationships/hyperlink" Target="https://doi.org/10.5281/zenodo.14642378" TargetMode="External"/><Relationship Id="rId364" Type="http://schemas.openxmlformats.org/officeDocument/2006/relationships/hyperlink" Target="https://doi.org/10.6084/m9.figshare.c.5601537.v1" TargetMode="External"/><Relationship Id="rId61" Type="http://schemas.openxmlformats.org/officeDocument/2006/relationships/hyperlink" Target="https://doi.org/10.5281/zenodo.14642378" TargetMode="External"/><Relationship Id="rId82" Type="http://schemas.openxmlformats.org/officeDocument/2006/relationships/hyperlink" Target="https://doi.org/10.5281/zenodo.14642378" TargetMode="External"/><Relationship Id="rId199" Type="http://schemas.openxmlformats.org/officeDocument/2006/relationships/hyperlink" Target="https://doi.org/10.5281/zenodo.14642378" TargetMode="External"/><Relationship Id="rId203" Type="http://schemas.openxmlformats.org/officeDocument/2006/relationships/hyperlink" Target="https://doi.org/10.5281/zenodo.14642378" TargetMode="External"/><Relationship Id="rId385" Type="http://schemas.openxmlformats.org/officeDocument/2006/relationships/hyperlink" Target="https://doi.org/10.6084/m9.figshare.19858927.v3" TargetMode="External"/><Relationship Id="rId19" Type="http://schemas.openxmlformats.org/officeDocument/2006/relationships/hyperlink" Target="https://doi.org/10.5281/zenodo.14642378" TargetMode="External"/><Relationship Id="rId224" Type="http://schemas.openxmlformats.org/officeDocument/2006/relationships/hyperlink" Target="https://doi.org/10.5281/zenodo.14642378" TargetMode="External"/><Relationship Id="rId245" Type="http://schemas.openxmlformats.org/officeDocument/2006/relationships/hyperlink" Target="https://doi.org/10.5281/zenodo.14642378" TargetMode="External"/><Relationship Id="rId266" Type="http://schemas.openxmlformats.org/officeDocument/2006/relationships/hyperlink" Target="https://doi.org/10.5281/zenodo.14642378" TargetMode="External"/><Relationship Id="rId287" Type="http://schemas.openxmlformats.org/officeDocument/2006/relationships/hyperlink" Target="https://doi.org/10.6084/m9.figshare.c.5601537.v1" TargetMode="External"/><Relationship Id="rId410" Type="http://schemas.openxmlformats.org/officeDocument/2006/relationships/hyperlink" Target="https://www.fire.ca.gov/incidents/2020/8/17/lnu-lightning-complex" TargetMode="External"/><Relationship Id="rId30" Type="http://schemas.openxmlformats.org/officeDocument/2006/relationships/hyperlink" Target="https://doi.org/10.5281/zenodo.14642378" TargetMode="External"/><Relationship Id="rId105" Type="http://schemas.openxmlformats.org/officeDocument/2006/relationships/hyperlink" Target="https://doi.org/10.5281/zenodo.14642378" TargetMode="External"/><Relationship Id="rId126" Type="http://schemas.openxmlformats.org/officeDocument/2006/relationships/hyperlink" Target="https://doi.org/10.5281/zenodo.14642378" TargetMode="External"/><Relationship Id="rId147" Type="http://schemas.openxmlformats.org/officeDocument/2006/relationships/hyperlink" Target="https://doi.org/10.5281/zenodo.14642378" TargetMode="External"/><Relationship Id="rId168" Type="http://schemas.openxmlformats.org/officeDocument/2006/relationships/hyperlink" Target="https://doi.org/10.5281/zenodo.14642378" TargetMode="External"/><Relationship Id="rId312" Type="http://schemas.openxmlformats.org/officeDocument/2006/relationships/hyperlink" Target="https://doi.org/10.5281/zenodo.14642378" TargetMode="External"/><Relationship Id="rId333" Type="http://schemas.openxmlformats.org/officeDocument/2006/relationships/hyperlink" Target="https://services1.arcgis.com/jUJYIo9tSA7EHvfZ/arcgis/rest/services/LNU_Complex_Perimeter_20200828/FeatureServer/0/query?objectIds=3&amp;outFields=%2A&amp;returnGeometry=false&amp;f=pjson" TargetMode="External"/><Relationship Id="rId354" Type="http://schemas.openxmlformats.org/officeDocument/2006/relationships/hyperlink" Target="https://doi.org/10.6084/m9.figshare.19858927.v3" TargetMode="External"/><Relationship Id="rId51" Type="http://schemas.openxmlformats.org/officeDocument/2006/relationships/hyperlink" Target="https://doi.org/10.6084/m9.figshare.c.5601537.v1" TargetMode="External"/><Relationship Id="rId72" Type="http://schemas.openxmlformats.org/officeDocument/2006/relationships/hyperlink" Target="https://doi.org/10.5281/zenodo.14642378" TargetMode="External"/><Relationship Id="rId93" Type="http://schemas.openxmlformats.org/officeDocument/2006/relationships/hyperlink" Target="https://doi.org/10.5281/zenodo.14642378" TargetMode="External"/><Relationship Id="rId189" Type="http://schemas.openxmlformats.org/officeDocument/2006/relationships/hyperlink" Target="https://doi.org/10.5281/zenodo.14642378" TargetMode="External"/><Relationship Id="rId375" Type="http://schemas.openxmlformats.org/officeDocument/2006/relationships/hyperlink" Target="https://doi.org/10.6084/m9.figshare.19858927.v3" TargetMode="External"/><Relationship Id="rId396" Type="http://schemas.openxmlformats.org/officeDocument/2006/relationships/hyperlink" Target="https://doi.org/10.6084/m9.figshare.19858927.v3" TargetMode="External"/><Relationship Id="rId3" Type="http://schemas.openxmlformats.org/officeDocument/2006/relationships/hyperlink" Target="https://doi.org/10.5281/zenodo.14642378" TargetMode="External"/><Relationship Id="rId214" Type="http://schemas.openxmlformats.org/officeDocument/2006/relationships/hyperlink" Target="https://doi.org/10.5281/zenodo.14642378" TargetMode="External"/><Relationship Id="rId235" Type="http://schemas.openxmlformats.org/officeDocument/2006/relationships/hyperlink" Target="https://doi.org/10.6084/m9.figshare.19858927.v3" TargetMode="External"/><Relationship Id="rId256" Type="http://schemas.openxmlformats.org/officeDocument/2006/relationships/hyperlink" Target="https://doi.org/10.6084/m9.figshare.c.5601537.v1" TargetMode="External"/><Relationship Id="rId277" Type="http://schemas.openxmlformats.org/officeDocument/2006/relationships/hyperlink" Target="https://doi.org/10.5281/zenodo.14642378" TargetMode="External"/><Relationship Id="rId298" Type="http://schemas.openxmlformats.org/officeDocument/2006/relationships/hyperlink" Target="https://doi.org/10.5281/zenodo.14642378" TargetMode="External"/><Relationship Id="rId400" Type="http://schemas.openxmlformats.org/officeDocument/2006/relationships/hyperlink" Target="https://doi.org/10.6084/m9.figshare.19858927.v3" TargetMode="External"/><Relationship Id="rId116" Type="http://schemas.openxmlformats.org/officeDocument/2006/relationships/hyperlink" Target="https://doi.org/10.5281/zenodo.14642378" TargetMode="External"/><Relationship Id="rId137" Type="http://schemas.openxmlformats.org/officeDocument/2006/relationships/hyperlink" Target="https://doi.org/10.5281/zenodo.14642378" TargetMode="External"/><Relationship Id="rId158" Type="http://schemas.openxmlformats.org/officeDocument/2006/relationships/hyperlink" Target="https://doi.org/10.5281/zenodo.14642378" TargetMode="External"/><Relationship Id="rId302" Type="http://schemas.openxmlformats.org/officeDocument/2006/relationships/hyperlink" Target="https://doi.org/10.6084/m9.figshare.c.5601537.v1" TargetMode="External"/><Relationship Id="rId323" Type="http://schemas.openxmlformats.org/officeDocument/2006/relationships/hyperlink" Target="https://doi.org/10.5281/zenodo.14642378" TargetMode="External"/><Relationship Id="rId344" Type="http://schemas.openxmlformats.org/officeDocument/2006/relationships/hyperlink" Target="https://doi.org/10.6084/m9.figshare.19858927.v3" TargetMode="External"/><Relationship Id="rId20" Type="http://schemas.openxmlformats.org/officeDocument/2006/relationships/hyperlink" Target="https://doi.org/10.5281/zenodo.14642378" TargetMode="External"/><Relationship Id="rId41" Type="http://schemas.openxmlformats.org/officeDocument/2006/relationships/hyperlink" Target="https://doi.org/10.5281/zenodo.14642378" TargetMode="External"/><Relationship Id="rId62" Type="http://schemas.openxmlformats.org/officeDocument/2006/relationships/hyperlink" Target="https://doi.org/10.6084/m9.figshare.19858927.v3" TargetMode="External"/><Relationship Id="rId83" Type="http://schemas.openxmlformats.org/officeDocument/2006/relationships/hyperlink" Target="https://doi.org/10.6084/m9.figshare.c.5601537.v1" TargetMode="External"/><Relationship Id="rId179" Type="http://schemas.openxmlformats.org/officeDocument/2006/relationships/hyperlink" Target="https://doi.org/10.5281/zenodo.14642378" TargetMode="External"/><Relationship Id="rId365" Type="http://schemas.openxmlformats.org/officeDocument/2006/relationships/hyperlink" Target="https://doi.org/10.6084/m9.figshare.19858927.v3" TargetMode="External"/><Relationship Id="rId386" Type="http://schemas.openxmlformats.org/officeDocument/2006/relationships/hyperlink" Target="https://doi.org/10.6084/m9.figshare.19858927.v3" TargetMode="External"/><Relationship Id="rId190" Type="http://schemas.openxmlformats.org/officeDocument/2006/relationships/hyperlink" Target="https://doi.org/10.6084/m9.figshare.19858927.v3" TargetMode="External"/><Relationship Id="rId204" Type="http://schemas.openxmlformats.org/officeDocument/2006/relationships/hyperlink" Target="https://doi.org/10.6084/m9.figshare.19858927.v3" TargetMode="External"/><Relationship Id="rId225" Type="http://schemas.openxmlformats.org/officeDocument/2006/relationships/hyperlink" Target="https://doi.org/10.6084/m9.figshare.c.5601537.v1" TargetMode="External"/><Relationship Id="rId246" Type="http://schemas.openxmlformats.org/officeDocument/2006/relationships/hyperlink" Target="https://doi.org/10.5281/zenodo.14642378" TargetMode="External"/><Relationship Id="rId267" Type="http://schemas.openxmlformats.org/officeDocument/2006/relationships/hyperlink" Target="https://doi.org/10.5281/zenodo.14642378" TargetMode="External"/><Relationship Id="rId288" Type="http://schemas.openxmlformats.org/officeDocument/2006/relationships/hyperlink" Target="https://doi.org/10.5281/zenodo.14642378" TargetMode="External"/><Relationship Id="rId411" Type="http://schemas.openxmlformats.org/officeDocument/2006/relationships/hyperlink" Target="https://doi.org/10.3390/rs16163050" TargetMode="External"/><Relationship Id="rId106" Type="http://schemas.openxmlformats.org/officeDocument/2006/relationships/hyperlink" Target="https://doi.org/10.5281/zenodo.14642378" TargetMode="External"/><Relationship Id="rId127" Type="http://schemas.openxmlformats.org/officeDocument/2006/relationships/hyperlink" Target="https://doi.org/10.5281/zenodo.14642378" TargetMode="External"/><Relationship Id="rId313" Type="http://schemas.openxmlformats.org/officeDocument/2006/relationships/hyperlink" Target="https://doi.org/10.5281/zenodo.14642378" TargetMode="External"/><Relationship Id="rId10" Type="http://schemas.openxmlformats.org/officeDocument/2006/relationships/hyperlink" Target="https://doi.org/10.5281/zenodo.14642378" TargetMode="External"/><Relationship Id="rId31" Type="http://schemas.openxmlformats.org/officeDocument/2006/relationships/hyperlink" Target="https://doi.org/10.5281/zenodo.14642378" TargetMode="External"/><Relationship Id="rId52" Type="http://schemas.openxmlformats.org/officeDocument/2006/relationships/hyperlink" Target="https://doi.org/10.6084/m9.figshare.c.5601537.v1" TargetMode="External"/><Relationship Id="rId73" Type="http://schemas.openxmlformats.org/officeDocument/2006/relationships/hyperlink" Target="https://doi.org/10.5281/zenodo.14642378" TargetMode="External"/><Relationship Id="rId94" Type="http://schemas.openxmlformats.org/officeDocument/2006/relationships/hyperlink" Target="https://doi.org/10.6084/m9.figshare.19858927.v3" TargetMode="External"/><Relationship Id="rId148" Type="http://schemas.openxmlformats.org/officeDocument/2006/relationships/hyperlink" Target="https://doi.org/10.5281/zenodo.14642378" TargetMode="External"/><Relationship Id="rId169" Type="http://schemas.openxmlformats.org/officeDocument/2006/relationships/hyperlink" Target="https://doi.org/10.5281/zenodo.14642378" TargetMode="External"/><Relationship Id="rId334" Type="http://schemas.openxmlformats.org/officeDocument/2006/relationships/hyperlink" Target="https://doi.org/10.6084/m9.figshare.c.5601537.v1" TargetMode="External"/><Relationship Id="rId355" Type="http://schemas.openxmlformats.org/officeDocument/2006/relationships/hyperlink" Target="https://doi.org/10.6084/m9.figshare.c.5601537.v1" TargetMode="External"/><Relationship Id="rId376" Type="http://schemas.openxmlformats.org/officeDocument/2006/relationships/hyperlink" Target="https://doi.org/10.6084/m9.figshare.19858927.v3" TargetMode="External"/><Relationship Id="rId397" Type="http://schemas.openxmlformats.org/officeDocument/2006/relationships/hyperlink" Target="https://doi.org/10.6084/m9.figshare.19858927.v3" TargetMode="External"/><Relationship Id="rId4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180" Type="http://schemas.openxmlformats.org/officeDocument/2006/relationships/hyperlink" Target="https://doi.org/10.6084/m9.figshare.c.5601537.v1" TargetMode="External"/><Relationship Id="rId215" Type="http://schemas.openxmlformats.org/officeDocument/2006/relationships/hyperlink" Target="https://doi.org/10.5281/zenodo.14642378" TargetMode="External"/><Relationship Id="rId236" Type="http://schemas.openxmlformats.org/officeDocument/2006/relationships/hyperlink" Target="https://doi.org/10.5281/zenodo.14642378" TargetMode="External"/><Relationship Id="rId257" Type="http://schemas.openxmlformats.org/officeDocument/2006/relationships/hyperlink" Target="https://doi.org/10.5281/zenodo.14642378" TargetMode="External"/><Relationship Id="rId278" Type="http://schemas.openxmlformats.org/officeDocument/2006/relationships/hyperlink" Target="https://doi.org/10.5281/zenodo.14642378" TargetMode="External"/><Relationship Id="rId401" Type="http://schemas.openxmlformats.org/officeDocument/2006/relationships/hyperlink" Target="https://doi.org/10.6084/m9.figshare.19858927.v3" TargetMode="External"/><Relationship Id="rId303" Type="http://schemas.openxmlformats.org/officeDocument/2006/relationships/hyperlink" Target="https://doi.org/10.5281/zenodo.14642378" TargetMode="External"/><Relationship Id="rId42" Type="http://schemas.openxmlformats.org/officeDocument/2006/relationships/hyperlink" Target="https://doi.org/10.5281/zenodo.14642378" TargetMode="External"/><Relationship Id="rId84" Type="http://schemas.openxmlformats.org/officeDocument/2006/relationships/hyperlink" Target="https://doi.org/10.6084/m9.figshare.c.5601537.v1" TargetMode="External"/><Relationship Id="rId138" Type="http://schemas.openxmlformats.org/officeDocument/2006/relationships/hyperlink" Target="https://doi.org/10.5281/zenodo.14642378" TargetMode="External"/><Relationship Id="rId345" Type="http://schemas.openxmlformats.org/officeDocument/2006/relationships/hyperlink" Target="https://doi.org/10.5281/zenodo.14642378" TargetMode="External"/><Relationship Id="rId387" Type="http://schemas.openxmlformats.org/officeDocument/2006/relationships/hyperlink" Target="https://doi.org/10.6084/m9.figshare.19858927.v3" TargetMode="External"/><Relationship Id="rId191" Type="http://schemas.openxmlformats.org/officeDocument/2006/relationships/hyperlink" Target="https://doi.org/10.5281/zenodo.14642378" TargetMode="External"/><Relationship Id="rId205" Type="http://schemas.openxmlformats.org/officeDocument/2006/relationships/hyperlink" Target="https://doi.org/10.5281/zenodo.14642378" TargetMode="External"/><Relationship Id="rId247" Type="http://schemas.openxmlformats.org/officeDocument/2006/relationships/hyperlink" Target="https://doi.org/10.5281/zenodo.14642378" TargetMode="External"/><Relationship Id="rId412" Type="http://schemas.openxmlformats.org/officeDocument/2006/relationships/table" Target="../tables/table2.xml"/><Relationship Id="rId107" Type="http://schemas.openxmlformats.org/officeDocument/2006/relationships/hyperlink" Target="https://doi.org/10.5281/zenodo.14642378" TargetMode="External"/><Relationship Id="rId289" Type="http://schemas.openxmlformats.org/officeDocument/2006/relationships/hyperlink" Target="https://doi.org/10.5281/zenodo.14642378" TargetMode="External"/><Relationship Id="rId11" Type="http://schemas.openxmlformats.org/officeDocument/2006/relationships/hyperlink" Target="https://doi.org/10.5281/zenodo.14642378" TargetMode="External"/><Relationship Id="rId53" Type="http://schemas.openxmlformats.org/officeDocument/2006/relationships/hyperlink" Target="https://doi.org/10.5281/zenodo.14642378" TargetMode="External"/><Relationship Id="rId149" Type="http://schemas.openxmlformats.org/officeDocument/2006/relationships/hyperlink" Target="https://doi.org/10.6084/m9.figshare.c.5601537.v1" TargetMode="External"/><Relationship Id="rId314" Type="http://schemas.openxmlformats.org/officeDocument/2006/relationships/hyperlink" Target="https://doi.org/10.5281/zenodo.14642378" TargetMode="External"/><Relationship Id="rId356" Type="http://schemas.openxmlformats.org/officeDocument/2006/relationships/hyperlink" Target="https://doi.org/10.6084/m9.figshare.c.5601537.v1" TargetMode="External"/><Relationship Id="rId398" Type="http://schemas.openxmlformats.org/officeDocument/2006/relationships/hyperlink" Target="https://doi.org/10.6084/m9.figshare.19858927.v3" TargetMode="External"/><Relationship Id="rId95" Type="http://schemas.openxmlformats.org/officeDocument/2006/relationships/hyperlink" Target="https://doi.org/10.5281/zenodo.14642378" TargetMode="External"/><Relationship Id="rId160" Type="http://schemas.openxmlformats.org/officeDocument/2006/relationships/hyperlink" Target="https://doi.org/10.5281/zenodo.14642378" TargetMode="External"/><Relationship Id="rId216" Type="http://schemas.openxmlformats.org/officeDocument/2006/relationships/hyperlink" Target="https://doi.org/10.5281/zenodo.14642378" TargetMode="External"/><Relationship Id="rId258" Type="http://schemas.openxmlformats.org/officeDocument/2006/relationships/hyperlink" Target="https://doi.org/10.5281/zenodo.14642378" TargetMode="External"/><Relationship Id="rId22" Type="http://schemas.openxmlformats.org/officeDocument/2006/relationships/hyperlink" Target="https://doi.org/10.6084/m9.figshare.c.5601537.v1" TargetMode="External"/><Relationship Id="rId64" Type="http://schemas.openxmlformats.org/officeDocument/2006/relationships/hyperlink" Target="https://doi.org/10.5281/zenodo.14642378" TargetMode="External"/><Relationship Id="rId118" Type="http://schemas.openxmlformats.org/officeDocument/2006/relationships/hyperlink" Target="https://doi.org/10.6084/m9.figshare.c.5601537.v1" TargetMode="External"/><Relationship Id="rId325" Type="http://schemas.openxmlformats.org/officeDocument/2006/relationships/hyperlink" Target="https://doi.org/10.5281/zenodo.14642378" TargetMode="External"/><Relationship Id="rId367" Type="http://schemas.openxmlformats.org/officeDocument/2006/relationships/hyperlink" Target="https://doi.org/10.6084/m9.figshare.19858927.v3" TargetMode="External"/><Relationship Id="rId171" Type="http://schemas.openxmlformats.org/officeDocument/2006/relationships/hyperlink" Target="https://doi.org/10.5281/zenodo.14642378" TargetMode="External"/><Relationship Id="rId227" Type="http://schemas.openxmlformats.org/officeDocument/2006/relationships/hyperlink" Target="https://doi.org/10.5281/zenodo.14642378" TargetMode="External"/><Relationship Id="rId269" Type="http://schemas.openxmlformats.org/officeDocument/2006/relationships/hyperlink" Target="https://doi.org/10.5281/zenodo.14642378" TargetMode="External"/><Relationship Id="rId33" Type="http://schemas.openxmlformats.org/officeDocument/2006/relationships/hyperlink" Target="https://doi.org/10.5281/zenodo.14642378" TargetMode="External"/><Relationship Id="rId129" Type="http://schemas.openxmlformats.org/officeDocument/2006/relationships/hyperlink" Target="https://doi.org/10.5281/zenodo.14642378" TargetMode="External"/><Relationship Id="rId280" Type="http://schemas.openxmlformats.org/officeDocument/2006/relationships/hyperlink" Target="https://doi.org/10.6084/m9.figshare.19858927.v3" TargetMode="External"/><Relationship Id="rId336" Type="http://schemas.openxmlformats.org/officeDocument/2006/relationships/hyperlink" Target="https://doi.org/10.5281/zenodo.14642378" TargetMode="External"/><Relationship Id="rId75" Type="http://schemas.openxmlformats.org/officeDocument/2006/relationships/hyperlink" Target="https://doi.org/10.5281/zenodo.14642378" TargetMode="External"/><Relationship Id="rId140" Type="http://schemas.openxmlformats.org/officeDocument/2006/relationships/hyperlink" Target="https://doi.org/10.5281/zenodo.14642378" TargetMode="External"/><Relationship Id="rId182" Type="http://schemas.openxmlformats.org/officeDocument/2006/relationships/hyperlink" Target="https://doi.org/10.5281/zenodo.14642378" TargetMode="External"/><Relationship Id="rId378" Type="http://schemas.openxmlformats.org/officeDocument/2006/relationships/hyperlink" Target="https://doi.org/10.3390/rs16163050" TargetMode="External"/><Relationship Id="rId403" Type="http://schemas.openxmlformats.org/officeDocument/2006/relationships/hyperlink" Target="https://lakeconews.com/news/66725-officials-lnu-lightning-complex-expected-to-be-fully-contained-at-start-of-october" TargetMode="External"/><Relationship Id="rId6" Type="http://schemas.openxmlformats.org/officeDocument/2006/relationships/hyperlink" Target="https://doi.org/10.5281/zenodo.14642378" TargetMode="External"/><Relationship Id="rId238" Type="http://schemas.openxmlformats.org/officeDocument/2006/relationships/hyperlink" Target="https://doi.org/10.5281/zenodo.14642378" TargetMode="External"/><Relationship Id="rId291" Type="http://schemas.openxmlformats.org/officeDocument/2006/relationships/hyperlink" Target="https://doi.org/10.5281/zenodo.14642378" TargetMode="External"/><Relationship Id="rId305" Type="http://schemas.openxmlformats.org/officeDocument/2006/relationships/hyperlink" Target="https://doi.org/10.5281/zenodo.14642378" TargetMode="External"/><Relationship Id="rId347" Type="http://schemas.openxmlformats.org/officeDocument/2006/relationships/hyperlink" Target="https://doi.org/10.5281/zenodo.14642378" TargetMode="External"/><Relationship Id="rId44" Type="http://schemas.openxmlformats.org/officeDocument/2006/relationships/hyperlink" Target="https://doi.org/10.5281/zenodo.14642378" TargetMode="External"/><Relationship Id="rId86" Type="http://schemas.openxmlformats.org/officeDocument/2006/relationships/hyperlink" Target="https://doi.org/10.5281/zenodo.14642378" TargetMode="External"/><Relationship Id="rId151" Type="http://schemas.openxmlformats.org/officeDocument/2006/relationships/hyperlink" Target="https://doi.org/10.6084/m9.figshare.c.5601537.v1" TargetMode="External"/><Relationship Id="rId389" Type="http://schemas.openxmlformats.org/officeDocument/2006/relationships/hyperlink" Target="https://doi.org/10.6084/m9.figshare.19858927.v3" TargetMode="External"/><Relationship Id="rId193" Type="http://schemas.openxmlformats.org/officeDocument/2006/relationships/hyperlink" Target="https://doi.org/10.5281/zenodo.14642378" TargetMode="External"/><Relationship Id="rId207" Type="http://schemas.openxmlformats.org/officeDocument/2006/relationships/hyperlink" Target="https://doi.org/10.5281/zenodo.14642378" TargetMode="External"/><Relationship Id="rId249" Type="http://schemas.openxmlformats.org/officeDocument/2006/relationships/hyperlink" Target="https://doi.org/10.5281/zenodo.14642378" TargetMode="External"/><Relationship Id="rId13" Type="http://schemas.openxmlformats.org/officeDocument/2006/relationships/hyperlink" Target="https://doi.org/10.5281/zenodo.14642378" TargetMode="External"/><Relationship Id="rId109" Type="http://schemas.openxmlformats.org/officeDocument/2006/relationships/hyperlink" Target="https://doi.org/10.6084/m9.figshare.19858927.v3" TargetMode="External"/><Relationship Id="rId260" Type="http://schemas.openxmlformats.org/officeDocument/2006/relationships/hyperlink" Target="https://doi.org/10.5281/zenodo.14642378" TargetMode="External"/><Relationship Id="rId316" Type="http://schemas.openxmlformats.org/officeDocument/2006/relationships/hyperlink" Target="https://doi.org/10.6084/m9.figshare.c.5601537.v1" TargetMode="External"/><Relationship Id="rId55" Type="http://schemas.openxmlformats.org/officeDocument/2006/relationships/hyperlink" Target="https://doi.org/10.5281/zenodo.14642378" TargetMode="External"/><Relationship Id="rId97" Type="http://schemas.openxmlformats.org/officeDocument/2006/relationships/hyperlink" Target="https://doi.org/10.5281/zenodo.14642378" TargetMode="External"/><Relationship Id="rId120" Type="http://schemas.openxmlformats.org/officeDocument/2006/relationships/hyperlink" Target="https://doi.org/10.5281/zenodo.14642378" TargetMode="External"/><Relationship Id="rId358" Type="http://schemas.openxmlformats.org/officeDocument/2006/relationships/hyperlink" Target="https://doi.org/10.6084/m9.figshare.c.5601537.v1" TargetMode="External"/><Relationship Id="rId162" Type="http://schemas.openxmlformats.org/officeDocument/2006/relationships/hyperlink" Target="https://doi.org/10.5281/zenodo.14642378" TargetMode="External"/><Relationship Id="rId218" Type="http://schemas.openxmlformats.org/officeDocument/2006/relationships/hyperlink" Target="https://doi.org/10.5281/zenodo.14642378" TargetMode="External"/><Relationship Id="rId271" Type="http://schemas.openxmlformats.org/officeDocument/2006/relationships/hyperlink" Target="https://doi.org/10.6084/m9.figshare.c.5601537.v1" TargetMode="External"/><Relationship Id="rId24" Type="http://schemas.openxmlformats.org/officeDocument/2006/relationships/hyperlink" Target="https://doi.org/10.5281/zenodo.14642378" TargetMode="External"/><Relationship Id="rId66" Type="http://schemas.openxmlformats.org/officeDocument/2006/relationships/hyperlink" Target="https://doi.org/10.5281/zenodo.14642378" TargetMode="External"/><Relationship Id="rId131" Type="http://schemas.openxmlformats.org/officeDocument/2006/relationships/hyperlink" Target="https://doi.org/10.5281/zenodo.14642378" TargetMode="External"/><Relationship Id="rId327" Type="http://schemas.openxmlformats.org/officeDocument/2006/relationships/hyperlink" Target="https://doi.org/10.5281/zenodo.14642378" TargetMode="External"/><Relationship Id="rId369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173" Type="http://schemas.openxmlformats.org/officeDocument/2006/relationships/hyperlink" Target="https://doi.org/10.5281/zenodo.14642378" TargetMode="External"/><Relationship Id="rId229" Type="http://schemas.openxmlformats.org/officeDocument/2006/relationships/hyperlink" Target="https://doi.org/10.5281/zenodo.14642378" TargetMode="External"/><Relationship Id="rId380" Type="http://schemas.openxmlformats.org/officeDocument/2006/relationships/hyperlink" Target="https://doi.org/10.6084/m9.figshare.19858927.v3" TargetMode="External"/><Relationship Id="rId240" Type="http://schemas.openxmlformats.org/officeDocument/2006/relationships/hyperlink" Target="https://doi.org/10.6084/m9.figshare.c.5601537.v1" TargetMode="External"/><Relationship Id="rId35" Type="http://schemas.openxmlformats.org/officeDocument/2006/relationships/hyperlink" Target="https://doi.org/10.5281/zenodo.14642378" TargetMode="External"/><Relationship Id="rId77" Type="http://schemas.openxmlformats.org/officeDocument/2006/relationships/hyperlink" Target="https://doi.org/10.5281/zenodo.14642378" TargetMode="External"/><Relationship Id="rId100" Type="http://schemas.openxmlformats.org/officeDocument/2006/relationships/hyperlink" Target="https://doi.org/10.6084/m9.figshare.c.5601537.v1" TargetMode="External"/><Relationship Id="rId282" Type="http://schemas.openxmlformats.org/officeDocument/2006/relationships/hyperlink" Target="https://doi.org/10.5281/zenodo.14642378" TargetMode="External"/><Relationship Id="rId338" Type="http://schemas.openxmlformats.org/officeDocument/2006/relationships/hyperlink" Target="https://doi.org/10.5281/zenodo.14642378" TargetMode="External"/><Relationship Id="rId8" Type="http://schemas.openxmlformats.org/officeDocument/2006/relationships/hyperlink" Target="https://doi.org/10.5281/zenodo.14642378" TargetMode="External"/><Relationship Id="rId142" Type="http://schemas.openxmlformats.org/officeDocument/2006/relationships/hyperlink" Target="https://doi.org/10.5281/zenodo.14642378" TargetMode="External"/><Relationship Id="rId184" Type="http://schemas.openxmlformats.org/officeDocument/2006/relationships/hyperlink" Target="https://doi.org/10.5281/zenodo.14642378" TargetMode="External"/><Relationship Id="rId391" Type="http://schemas.openxmlformats.org/officeDocument/2006/relationships/hyperlink" Target="https://doi.org/10.6084/m9.figshare.19858927.v3" TargetMode="External"/><Relationship Id="rId405" Type="http://schemas.openxmlformats.org/officeDocument/2006/relationships/hyperlink" Target="https://lakeconews.com/news/66725-officials-lnu-lightning-complex-expected-to-be-fully-contained-at-start-of-october" TargetMode="External"/><Relationship Id="rId251" Type="http://schemas.openxmlformats.org/officeDocument/2006/relationships/hyperlink" Target="https://doi.org/10.5281/zenodo.14642378" TargetMode="External"/><Relationship Id="rId46" Type="http://schemas.openxmlformats.org/officeDocument/2006/relationships/hyperlink" Target="https://doi.org/10.5281/zenodo.14642378" TargetMode="External"/><Relationship Id="rId293" Type="http://schemas.openxmlformats.org/officeDocument/2006/relationships/hyperlink" Target="https://doi.org/10.5281/zenodo.14642378" TargetMode="External"/><Relationship Id="rId307" Type="http://schemas.openxmlformats.org/officeDocument/2006/relationships/hyperlink" Target="https://doi.org/10.5281/zenodo.14642378" TargetMode="External"/><Relationship Id="rId349" Type="http://schemas.openxmlformats.org/officeDocument/2006/relationships/hyperlink" Target="https://doi.org/10.6084/m9.figshare.c.5601537.v1" TargetMode="External"/><Relationship Id="rId88" Type="http://schemas.openxmlformats.org/officeDocument/2006/relationships/hyperlink" Target="https://doi.org/10.5281/zenodo.14642378" TargetMode="External"/><Relationship Id="rId111" Type="http://schemas.openxmlformats.org/officeDocument/2006/relationships/hyperlink" Target="https://doi.org/10.5281/zenodo.14642378" TargetMode="External"/><Relationship Id="rId153" Type="http://schemas.openxmlformats.org/officeDocument/2006/relationships/hyperlink" Target="https://doi.org/10.5281/zenodo.14642378" TargetMode="External"/><Relationship Id="rId195" Type="http://schemas.openxmlformats.org/officeDocument/2006/relationships/hyperlink" Target="https://doi.org/10.6084/m9.figshare.c.5601537.v1" TargetMode="External"/><Relationship Id="rId209" Type="http://schemas.openxmlformats.org/officeDocument/2006/relationships/hyperlink" Target="https://doi.org/10.5281/zenodo.14642378" TargetMode="External"/><Relationship Id="rId360" Type="http://schemas.openxmlformats.org/officeDocument/2006/relationships/hyperlink" Target="https://doi.org/10.6084/m9.figshare.c.5601537.v1" TargetMode="External"/><Relationship Id="rId220" Type="http://schemas.openxmlformats.org/officeDocument/2006/relationships/hyperlink" Target="https://doi.org/10.6084/m9.figshare.19858927.v3" TargetMode="External"/><Relationship Id="rId15" Type="http://schemas.openxmlformats.org/officeDocument/2006/relationships/hyperlink" Target="https://doi.org/10.5281/zenodo.14642378" TargetMode="External"/><Relationship Id="rId57" Type="http://schemas.openxmlformats.org/officeDocument/2006/relationships/hyperlink" Target="https://doi.org/10.5281/zenodo.14642378" TargetMode="External"/><Relationship Id="rId262" Type="http://schemas.openxmlformats.org/officeDocument/2006/relationships/hyperlink" Target="https://doi.org/10.5281/zenodo.14642378" TargetMode="External"/><Relationship Id="rId318" Type="http://schemas.openxmlformats.org/officeDocument/2006/relationships/hyperlink" Target="https://doi.org/10.5281/zenodo.14642378" TargetMode="External"/><Relationship Id="rId99" Type="http://schemas.openxmlformats.org/officeDocument/2006/relationships/hyperlink" Target="https://doi.org/10.6084/m9.figshare.c.5601537.v1" TargetMode="External"/><Relationship Id="rId122" Type="http://schemas.openxmlformats.org/officeDocument/2006/relationships/hyperlink" Target="https://doi.org/10.5281/zenodo.14642378" TargetMode="External"/><Relationship Id="rId164" Type="http://schemas.openxmlformats.org/officeDocument/2006/relationships/hyperlink" Target="https://doi.org/10.5281/zenodo.14642378" TargetMode="External"/><Relationship Id="rId371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26" Type="http://schemas.openxmlformats.org/officeDocument/2006/relationships/hyperlink" Target="https://doi.org/10.5281/zenodo.14642378" TargetMode="External"/><Relationship Id="rId231" Type="http://schemas.openxmlformats.org/officeDocument/2006/relationships/hyperlink" Target="https://doi.org/10.5281/zenodo.14642378" TargetMode="External"/><Relationship Id="rId273" Type="http://schemas.openxmlformats.org/officeDocument/2006/relationships/hyperlink" Target="https://doi.org/10.5281/zenodo.14642378" TargetMode="External"/><Relationship Id="rId329" Type="http://schemas.openxmlformats.org/officeDocument/2006/relationships/hyperlink" Target="https://doi.org/10.5281/zenodo.14642378" TargetMode="External"/><Relationship Id="rId68" Type="http://schemas.openxmlformats.org/officeDocument/2006/relationships/hyperlink" Target="https://doi.org/10.6084/m9.figshare.c.5601537.v1" TargetMode="External"/><Relationship Id="rId133" Type="http://schemas.openxmlformats.org/officeDocument/2006/relationships/hyperlink" Target="https://doi.org/10.6084/m9.figshare.c.5601537.v1" TargetMode="External"/><Relationship Id="rId175" Type="http://schemas.openxmlformats.org/officeDocument/2006/relationships/hyperlink" Target="https://doi.org/10.6084/m9.figshare.19858927.v3" TargetMode="External"/><Relationship Id="rId340" Type="http://schemas.openxmlformats.org/officeDocument/2006/relationships/hyperlink" Target="https://doi.org/10.5281/zenodo.14642378" TargetMode="External"/><Relationship Id="rId200" Type="http://schemas.openxmlformats.org/officeDocument/2006/relationships/hyperlink" Target="https://doi.org/10.5281/zenodo.14642378" TargetMode="External"/><Relationship Id="rId382" Type="http://schemas.openxmlformats.org/officeDocument/2006/relationships/hyperlink" Target="https://doi.org/10.6084/m9.figshare.19858927.v3" TargetMode="External"/><Relationship Id="rId242" Type="http://schemas.openxmlformats.org/officeDocument/2006/relationships/hyperlink" Target="https://doi.org/10.5281/zenodo.14642378" TargetMode="External"/><Relationship Id="rId284" Type="http://schemas.openxmlformats.org/officeDocument/2006/relationships/hyperlink" Target="https://doi.org/10.5281/zenodo.14642378" TargetMode="External"/><Relationship Id="rId37" Type="http://schemas.openxmlformats.org/officeDocument/2006/relationships/hyperlink" Target="https://doi.org/10.6084/m9.figshare.c.5601537.v1" TargetMode="External"/><Relationship Id="rId79" Type="http://schemas.openxmlformats.org/officeDocument/2006/relationships/hyperlink" Target="https://doi.org/10.5281/zenodo.14642378" TargetMode="External"/><Relationship Id="rId102" Type="http://schemas.openxmlformats.org/officeDocument/2006/relationships/hyperlink" Target="https://doi.org/10.5281/zenodo.14642378" TargetMode="External"/><Relationship Id="rId144" Type="http://schemas.openxmlformats.org/officeDocument/2006/relationships/hyperlink" Target="https://doi.org/10.6084/m9.figshare.19858927.v3" TargetMode="External"/><Relationship Id="rId90" Type="http://schemas.openxmlformats.org/officeDocument/2006/relationships/hyperlink" Target="https://doi.org/10.5281/zenodo.14642378" TargetMode="External"/><Relationship Id="rId186" Type="http://schemas.openxmlformats.org/officeDocument/2006/relationships/hyperlink" Target="https://doi.org/10.5281/zenodo.14642378" TargetMode="External"/><Relationship Id="rId351" Type="http://schemas.openxmlformats.org/officeDocument/2006/relationships/hyperlink" Target="https://doi.org/10.5281/zenodo.14642378" TargetMode="External"/><Relationship Id="rId393" Type="http://schemas.openxmlformats.org/officeDocument/2006/relationships/hyperlink" Target="https://doi.org/10.6084/m9.figshare.19858927.v3" TargetMode="External"/><Relationship Id="rId407" Type="http://schemas.openxmlformats.org/officeDocument/2006/relationships/hyperlink" Target="https://doi.org/10.6084/m9.figshare.19858927.v3" TargetMode="External"/><Relationship Id="rId211" Type="http://schemas.openxmlformats.org/officeDocument/2006/relationships/hyperlink" Target="https://doi.org/10.6084/m9.figshare.c.5601537.v1" TargetMode="External"/><Relationship Id="rId253" Type="http://schemas.openxmlformats.org/officeDocument/2006/relationships/hyperlink" Target="https://doi.org/10.5281/zenodo.14642378" TargetMode="External"/><Relationship Id="rId295" Type="http://schemas.openxmlformats.org/officeDocument/2006/relationships/hyperlink" Target="https://doi.org/10.5281/zenodo.14642378" TargetMode="External"/><Relationship Id="rId309" Type="http://schemas.openxmlformats.org/officeDocument/2006/relationships/hyperlink" Target="https://doi.org/10.5281/zenodo.1464237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6084/m9.figshare.19858927.v3" TargetMode="External"/><Relationship Id="rId21" Type="http://schemas.openxmlformats.org/officeDocument/2006/relationships/hyperlink" Target="https://services3.arcgis.com/T4QMspbfLg3qTGWY/arcgis/rest/services/Historic_Geomac_Perimeters_2018/FeatureServer/0/query?objectIds=3191&amp;outFields=%2A&amp;returnGeometry=false&amp;f=pjson" TargetMode="External"/><Relationship Id="rId42" Type="http://schemas.openxmlformats.org/officeDocument/2006/relationships/hyperlink" Target="https://doi.org/10.6084/m9.figshare.19858927.v3" TargetMode="External"/><Relationship Id="rId63" Type="http://schemas.openxmlformats.org/officeDocument/2006/relationships/hyperlink" Target="https://services3.arcgis.com/T4QMspbfLg3qTGWY/arcgis/rest/services/Historic_Geomac_Perimeters_2018/FeatureServer/0/query?objectIds=983&amp;outFields=%2A&amp;returnGeometry=false&amp;f=pjson" TargetMode="External"/><Relationship Id="rId84" Type="http://schemas.openxmlformats.org/officeDocument/2006/relationships/hyperlink" Target="https://services3.arcgis.com/T4QMspbfLg3qTGWY/arcgis/rest/services/Historic_Geomac_Perimeters_2018/FeatureServer/0/query?objectIds=4025&amp;outFields=%2A&amp;returnGeometry=false&amp;f=pjson" TargetMode="External"/><Relationship Id="rId138" Type="http://schemas.openxmlformats.org/officeDocument/2006/relationships/hyperlink" Target="https://doi.org/10.6084/m9.figshare.19858927.v3" TargetMode="External"/><Relationship Id="rId159" Type="http://schemas.openxmlformats.org/officeDocument/2006/relationships/hyperlink" Target="https://doi.org/10.1016/j.ecoinf.2026.103777" TargetMode="External"/><Relationship Id="rId107" Type="http://schemas.openxmlformats.org/officeDocument/2006/relationships/hyperlink" Target="https://services3.arcgis.com/T4QMspbfLg3qTGWY/arcgis/rest/services/Historic_Geomac_Perimeters_2018/FeatureServer/0/query?objectIds=4&amp;outFields=%2A&amp;returnGeometry=false&amp;f=pjson" TargetMode="External"/><Relationship Id="rId11" Type="http://schemas.openxmlformats.org/officeDocument/2006/relationships/hyperlink" Target="https://services3.arcgis.com/T4QMspbfLg3qTGWY/arcgis/rest/services/Historic_Geomac_Perimeters_2018/FeatureServer/0/query?objectIds=869&amp;outFields=%2A&amp;returnGeometry=false&amp;f=pjson" TargetMode="External"/><Relationship Id="rId32" Type="http://schemas.openxmlformats.org/officeDocument/2006/relationships/hyperlink" Target="https://doi.org/10.6084/m9.figshare.19858927.v3" TargetMode="External"/><Relationship Id="rId53" Type="http://schemas.openxmlformats.org/officeDocument/2006/relationships/hyperlink" Target="https://services3.arcgis.com/T4QMspbfLg3qTGWY/arcgis/rest/services/Historic_Geomac_Perimeters_2018/FeatureServer/0/query?objectIds=3517&amp;outFields=%2A&amp;returnGeometry=false&amp;f=pjson" TargetMode="External"/><Relationship Id="rId74" Type="http://schemas.openxmlformats.org/officeDocument/2006/relationships/hyperlink" Target="https://doi.org/10.6084/m9.figshare.19858927.v3" TargetMode="External"/><Relationship Id="rId128" Type="http://schemas.openxmlformats.org/officeDocument/2006/relationships/hyperlink" Target="https://services3.arcgis.com/T4QMspbfLg3qTGWY/arcgis/rest/services/Historic_Geomac_Perimeters_2018/FeatureServer/0/query?objectIds=28&amp;outFields=%2A&amp;returnGeometry=false&amp;f=pjson" TargetMode="External"/><Relationship Id="rId149" Type="http://schemas.openxmlformats.org/officeDocument/2006/relationships/hyperlink" Target="https://doi.org/10.6084/m9.figshare.19858927.v3" TargetMode="External"/><Relationship Id="rId5" Type="http://schemas.openxmlformats.org/officeDocument/2006/relationships/hyperlink" Target="https://www.nps.gov/aboutus/foia/upload/Carr-Fire-Origin-and-Cause-Report-2-23-21_Redacted-w-cover.zip" TargetMode="External"/><Relationship Id="rId95" Type="http://schemas.openxmlformats.org/officeDocument/2006/relationships/hyperlink" Target="https://services3.arcgis.com/T4QMspbfLg3qTGWY/arcgis/rest/services/Historic_Geomac_Perimeters_2018/FeatureServer/0/query?objectIds=98&amp;outFields=%2A&amp;returnGeometry=false&amp;f=pjson" TargetMode="External"/><Relationship Id="rId160" Type="http://schemas.openxmlformats.org/officeDocument/2006/relationships/table" Target="../tables/table3.xml"/><Relationship Id="rId22" Type="http://schemas.openxmlformats.org/officeDocument/2006/relationships/hyperlink" Target="https://services3.arcgis.com/T4QMspbfLg3qTGWY/arcgis/rest/services/Historic_Geomac_Perimeters_2018/FeatureServer/0/query?objectIds=802&amp;outFields=%2A&amp;returnGeometry=false&amp;f=pjson" TargetMode="External"/><Relationship Id="rId43" Type="http://schemas.openxmlformats.org/officeDocument/2006/relationships/hyperlink" Target="https://services3.arcgis.com/T4QMspbfLg3qTGWY/arcgis/rest/services/Historic_Geomac_Perimeters_2018/FeatureServer/0/query?objectIds=2518&amp;outFields=%2A&amp;returnGeometry=false&amp;f=pjson" TargetMode="External"/><Relationship Id="rId64" Type="http://schemas.openxmlformats.org/officeDocument/2006/relationships/hyperlink" Target="https://services3.arcgis.com/T4QMspbfLg3qTGWY/arcgis/rest/services/Historic_Geomac_Perimeters_2018/FeatureServer/0/query?objectIds=980&amp;outFields=%2A&amp;returnGeometry=false&amp;f=pjson" TargetMode="External"/><Relationship Id="rId118" Type="http://schemas.openxmlformats.org/officeDocument/2006/relationships/hyperlink" Target="https://doi.org/10.6084/m9.figshare.19858927.v3" TargetMode="External"/><Relationship Id="rId139" Type="http://schemas.openxmlformats.org/officeDocument/2006/relationships/hyperlink" Target="https://doi.org/10.6084/m9.figshare.19858927.v3" TargetMode="External"/><Relationship Id="rId80" Type="http://schemas.openxmlformats.org/officeDocument/2006/relationships/hyperlink" Target="https://services3.arcgis.com/T4QMspbfLg3qTGWY/arcgis/rest/services/Historic_Geomac_Perimeters_2018/FeatureServer/0/query?objectIds=4033&amp;outFields=%2A&amp;returnGeometry=false&amp;f=pjson" TargetMode="External"/><Relationship Id="rId85" Type="http://schemas.openxmlformats.org/officeDocument/2006/relationships/hyperlink" Target="https://doi.org/10.6084/m9.figshare.19858927.v3" TargetMode="External"/><Relationship Id="rId150" Type="http://schemas.openxmlformats.org/officeDocument/2006/relationships/hyperlink" Target="https://doi.org/10.6084/m9.figshare.19858927.v3" TargetMode="External"/><Relationship Id="rId155" Type="http://schemas.openxmlformats.org/officeDocument/2006/relationships/hyperlink" Target="https://doi.org/10.6084/m9.figshare.19858927.v3" TargetMode="External"/><Relationship Id="rId12" Type="http://schemas.openxmlformats.org/officeDocument/2006/relationships/hyperlink" Target="https://doi.org/10.6084/m9.figshare.19858927.v3" TargetMode="External"/><Relationship Id="rId17" Type="http://schemas.openxmlformats.org/officeDocument/2006/relationships/hyperlink" Target="https://doi.org/10.6084/m9.figshare.19858927.v3" TargetMode="External"/><Relationship Id="rId33" Type="http://schemas.openxmlformats.org/officeDocument/2006/relationships/hyperlink" Target="https://doi.org/10.6084/m9.figshare.19858927.v3" TargetMode="External"/><Relationship Id="rId38" Type="http://schemas.openxmlformats.org/officeDocument/2006/relationships/hyperlink" Target="https://services3.arcgis.com/T4QMspbfLg3qTGWY/arcgis/rest/services/Historic_Geomac_Perimeters_2018/FeatureServer/0/query?objectIds=4563&amp;outFields=%2A&amp;returnGeometry=false&amp;f=pjson" TargetMode="External"/><Relationship Id="rId59" Type="http://schemas.openxmlformats.org/officeDocument/2006/relationships/hyperlink" Target="https://services3.arcgis.com/T4QMspbfLg3qTGWY/arcgis/rest/services/Historic_Geomac_Perimeters_2018/FeatureServer/0/query?objectIds=515&amp;outFields=%2A&amp;returnGeometry=false&amp;f=pjson" TargetMode="External"/><Relationship Id="rId103" Type="http://schemas.openxmlformats.org/officeDocument/2006/relationships/hyperlink" Target="https://doi.org/10.6084/m9.figshare.19858927.v3" TargetMode="External"/><Relationship Id="rId108" Type="http://schemas.openxmlformats.org/officeDocument/2006/relationships/hyperlink" Target="https://services3.arcgis.com/T4QMspbfLg3qTGWY/arcgis/rest/services/Historic_Geomac_Perimeters_2018/FeatureServer/0/query?objectIds=4519&amp;outFields=%2A&amp;returnGeometry=false&amp;f=pjson" TargetMode="External"/><Relationship Id="rId124" Type="http://schemas.openxmlformats.org/officeDocument/2006/relationships/hyperlink" Target="https://services3.arcgis.com/T4QMspbfLg3qTGWY/arcgis/rest/services/Historic_Geomac_Perimeters_2018/FeatureServer/0/query?objectIds=3382&amp;outFields=%2A&amp;returnGeometry=false&amp;f=pjson" TargetMode="External"/><Relationship Id="rId129" Type="http://schemas.openxmlformats.org/officeDocument/2006/relationships/hyperlink" Target="https://doi.org/10.6084/m9.figshare.19858927.v3" TargetMode="External"/><Relationship Id="rId54" Type="http://schemas.openxmlformats.org/officeDocument/2006/relationships/hyperlink" Target="https://doi.org/10.6084/m9.figshare.19858927.v3" TargetMode="External"/><Relationship Id="rId70" Type="http://schemas.openxmlformats.org/officeDocument/2006/relationships/hyperlink" Target="https://doi.org/10.6084/m9.figshare.19858927.v3" TargetMode="External"/><Relationship Id="rId75" Type="http://schemas.openxmlformats.org/officeDocument/2006/relationships/hyperlink" Target="https://services3.arcgis.com/T4QMspbfLg3qTGWY/arcgis/rest/services/Historic_Geomac_Perimeters_2018/FeatureServer/0/query?objectIds=3577&amp;outFields=%2A&amp;returnGeometry=false&amp;f=pjson" TargetMode="External"/><Relationship Id="rId91" Type="http://schemas.openxmlformats.org/officeDocument/2006/relationships/hyperlink" Target="https://services3.arcgis.com/T4QMspbfLg3qTGWY/arcgis/rest/services/Historic_Geomac_Perimeters_2018/FeatureServer/0/query?objectIds=4126&amp;outFields=%2A&amp;returnGeometry=false&amp;f=pjson" TargetMode="External"/><Relationship Id="rId96" Type="http://schemas.openxmlformats.org/officeDocument/2006/relationships/hyperlink" Target="https://services3.arcgis.com/T4QMspbfLg3qTGWY/arcgis/rest/services/Historic_Geomac_Perimeters_2018/FeatureServer/0/query?objectIds=4182&amp;outFields=%2A&amp;returnGeometry=false&amp;f=pjson" TargetMode="External"/><Relationship Id="rId140" Type="http://schemas.openxmlformats.org/officeDocument/2006/relationships/hyperlink" Target="https://services3.arcgis.com/T4QMspbfLg3qTGWY/arcgis/rest/services/Historic_Geomac_Perimeters_2018/FeatureServer/0/query?objectIds=2748&amp;outFields=%2A&amp;returnGeometry=false&amp;f=pjson" TargetMode="External"/><Relationship Id="rId145" Type="http://schemas.openxmlformats.org/officeDocument/2006/relationships/hyperlink" Target="https://doi.org/10.6084/m9.figshare.19858927.v3" TargetMode="External"/><Relationship Id="rId1" Type="http://schemas.openxmlformats.org/officeDocument/2006/relationships/hyperlink" Target="https://doi.org/10.1109/JSTARS.2020.3019261" TargetMode="External"/><Relationship Id="rId6" Type="http://schemas.openxmlformats.org/officeDocument/2006/relationships/hyperlink" Target="https://www.fire.ca.gov/incidents/2018/7/23/carr-fire" TargetMode="External"/><Relationship Id="rId23" Type="http://schemas.openxmlformats.org/officeDocument/2006/relationships/hyperlink" Target="https://doi.org/10.6084/m9.figshare.19858927.v3" TargetMode="External"/><Relationship Id="rId28" Type="http://schemas.openxmlformats.org/officeDocument/2006/relationships/hyperlink" Target="https://lessons.wildfire.gov/incident/carr-fire-entrapment-fatalities-2018" TargetMode="External"/><Relationship Id="rId49" Type="http://schemas.openxmlformats.org/officeDocument/2006/relationships/hyperlink" Target="https://doi.org/10.6084/m9.figshare.19858927.v3" TargetMode="External"/><Relationship Id="rId114" Type="http://schemas.openxmlformats.org/officeDocument/2006/relationships/hyperlink" Target="https://doi.org/10.6084/m9.figshare.19858927.v3" TargetMode="External"/><Relationship Id="rId119" Type="http://schemas.openxmlformats.org/officeDocument/2006/relationships/hyperlink" Target="https://doi.org/10.6084/m9.figshare.19858927.v3" TargetMode="External"/><Relationship Id="rId44" Type="http://schemas.openxmlformats.org/officeDocument/2006/relationships/hyperlink" Target="https://services3.arcgis.com/T4QMspbfLg3qTGWY/arcgis/rest/services/Historic_Geomac_Perimeters_2018/FeatureServer/0/query?objectIds=2537&amp;outFields=%2A&amp;returnGeometry=false&amp;f=pjson" TargetMode="External"/><Relationship Id="rId60" Type="http://schemas.openxmlformats.org/officeDocument/2006/relationships/hyperlink" Target="https://services3.arcgis.com/T4QMspbfLg3qTGWY/arcgis/rest/services/Historic_Geomac_Perimeters_2018/FeatureServer/0/query?objectIds=524&amp;outFields=%2A&amp;returnGeometry=false&amp;f=pjson" TargetMode="External"/><Relationship Id="rId65" Type="http://schemas.openxmlformats.org/officeDocument/2006/relationships/hyperlink" Target="https://doi.org/10.6084/m9.figshare.19858927.v3" TargetMode="External"/><Relationship Id="rId81" Type="http://schemas.openxmlformats.org/officeDocument/2006/relationships/hyperlink" Target="https://doi.org/10.6084/m9.figshare.19858927.v3" TargetMode="External"/><Relationship Id="rId86" Type="http://schemas.openxmlformats.org/officeDocument/2006/relationships/hyperlink" Target="https://doi.org/10.6084/m9.figshare.19858927.v3" TargetMode="External"/><Relationship Id="rId130" Type="http://schemas.openxmlformats.org/officeDocument/2006/relationships/hyperlink" Target="https://www.nps.gov/whis/carr-fire-timeline.htm" TargetMode="External"/><Relationship Id="rId135" Type="http://schemas.openxmlformats.org/officeDocument/2006/relationships/hyperlink" Target="https://services3.arcgis.com/T4QMspbfLg3qTGWY/arcgis/rest/services/Historic_Geomac_Perimeters_2018/FeatureServer/0/query?objectIds=291&amp;outFields=%2A&amp;returnGeometry=false&amp;f=pjson" TargetMode="External"/><Relationship Id="rId151" Type="http://schemas.openxmlformats.org/officeDocument/2006/relationships/hyperlink" Target="https://services3.arcgis.com/T4QMspbfLg3qTGWY/arcgis/rest/services/Historic_Geomac_Perimeters_2018/FeatureServer/0/query?objectIds=4165&amp;outFields=%2A&amp;returnGeometry=false&amp;f=pjson" TargetMode="External"/><Relationship Id="rId156" Type="http://schemas.openxmlformats.org/officeDocument/2006/relationships/hyperlink" Target="https://services3.arcgis.com/T4QMspbfLg3qTGWY/arcgis/rest/services/Historic_Geomac_Perimeters_2018/FeatureServer/0/query?objectIds=4266&amp;outFields=%2A&amp;returnGeometry=false&amp;f=pjson" TargetMode="External"/><Relationship Id="rId13" Type="http://schemas.openxmlformats.org/officeDocument/2006/relationships/hyperlink" Target="https://doi.org/10.6084/m9.figshare.19858927.v3" TargetMode="External"/><Relationship Id="rId18" Type="http://schemas.openxmlformats.org/officeDocument/2006/relationships/hyperlink" Target="https://doi.org/10.6084/m9.figshare.19858927.v3" TargetMode="External"/><Relationship Id="rId39" Type="http://schemas.openxmlformats.org/officeDocument/2006/relationships/hyperlink" Target="https://services3.arcgis.com/T4QMspbfLg3qTGWY/arcgis/rest/services/Historic_Geomac_Perimeters_2018/FeatureServer/0/query?objectIds=2513&amp;outFields=%2A&amp;returnGeometry=false&amp;f=pjson" TargetMode="External"/><Relationship Id="rId109" Type="http://schemas.openxmlformats.org/officeDocument/2006/relationships/hyperlink" Target="https://doi.org/10.6084/m9.figshare.19858927.v3" TargetMode="External"/><Relationship Id="rId34" Type="http://schemas.openxmlformats.org/officeDocument/2006/relationships/hyperlink" Target="https://doi.org/10.6084/m9.figshare.19858927.v3" TargetMode="External"/><Relationship Id="rId50" Type="http://schemas.openxmlformats.org/officeDocument/2006/relationships/hyperlink" Target="https://doi.org/10.6084/m9.figshare.19858927.v3" TargetMode="External"/><Relationship Id="rId55" Type="http://schemas.openxmlformats.org/officeDocument/2006/relationships/hyperlink" Target="https://services3.arcgis.com/T4QMspbfLg3qTGWY/arcgis/rest/services/Historic_Geomac_Perimeters_2018/FeatureServer/0/query?objectIds=3528&amp;outFields=%2A&amp;returnGeometry=false&amp;f=pjson" TargetMode="External"/><Relationship Id="rId76" Type="http://schemas.openxmlformats.org/officeDocument/2006/relationships/hyperlink" Target="https://services3.arcgis.com/T4QMspbfLg3qTGWY/arcgis/rest/services/Historic_Geomac_Perimeters_2018/FeatureServer/0/query?objectIds=456&amp;outFields=%2A&amp;returnGeometry=false&amp;f=pjson" TargetMode="External"/><Relationship Id="rId97" Type="http://schemas.openxmlformats.org/officeDocument/2006/relationships/hyperlink" Target="https://doi.org/10.6084/m9.figshare.19858927.v3" TargetMode="External"/><Relationship Id="rId104" Type="http://schemas.openxmlformats.org/officeDocument/2006/relationships/hyperlink" Target="https://services3.arcgis.com/T4QMspbfLg3qTGWY/arcgis/rest/services/Historic_Geomac_Perimeters_2018/FeatureServer/0/query?objectIds=1222&amp;outFields=%2A&amp;returnGeometry=false&amp;f=pjson" TargetMode="External"/><Relationship Id="rId120" Type="http://schemas.openxmlformats.org/officeDocument/2006/relationships/hyperlink" Target="https://services3.arcgis.com/T4QMspbfLg3qTGWY/arcgis/rest/services/Historic_Geomac_Perimeters_2018/FeatureServer/0/query?objectIds=4290&amp;outFields=%2A&amp;returnGeometry=false&amp;f=pjson" TargetMode="External"/><Relationship Id="rId125" Type="http://schemas.openxmlformats.org/officeDocument/2006/relationships/hyperlink" Target="https://services3.arcgis.com/T4QMspbfLg3qTGWY/arcgis/rest/services/Historic_Geomac_Perimeters_2018/FeatureServer/0/query?objectIds=573&amp;outFields=%2A&amp;returnGeometry=false&amp;f=pjson" TargetMode="External"/><Relationship Id="rId141" Type="http://schemas.openxmlformats.org/officeDocument/2006/relationships/hyperlink" Target="https://doi.org/10.6084/m9.figshare.19858927.v3" TargetMode="External"/><Relationship Id="rId146" Type="http://schemas.openxmlformats.org/officeDocument/2006/relationships/hyperlink" Target="https://services3.arcgis.com/T4QMspbfLg3qTGWY/arcgis/rest/services/Historic_Geomac_Perimeters_2018/FeatureServer/0/query?objectIds=4523&amp;outFields=%2A&amp;returnGeometry=false&amp;f=pjson" TargetMode="External"/><Relationship Id="rId7" Type="http://schemas.openxmlformats.org/officeDocument/2006/relationships/hyperlink" Target="https://www.nps.gov/aboutus/foia/upload/Carr-Fire-Origin-and-Cause-Report-2-23-21_Redacted-w-cover.zip" TargetMode="External"/><Relationship Id="rId71" Type="http://schemas.openxmlformats.org/officeDocument/2006/relationships/hyperlink" Target="https://services3.arcgis.com/T4QMspbfLg3qTGWY/arcgis/rest/services/Historic_Geomac_Perimeters_2018/FeatureServer/0/query?objectIds=3015&amp;outFields=%2A&amp;returnGeometry=false&amp;f=pjson" TargetMode="External"/><Relationship Id="rId92" Type="http://schemas.openxmlformats.org/officeDocument/2006/relationships/hyperlink" Target="https://services3.arcgis.com/T4QMspbfLg3qTGWY/arcgis/rest/services/Historic_Geomac_Perimeters_2018/FeatureServer/0/query?objectIds=4052&amp;outFields=%2A&amp;returnGeometry=false&amp;f=pjson" TargetMode="External"/><Relationship Id="rId2" Type="http://schemas.openxmlformats.org/officeDocument/2006/relationships/hyperlink" Target="https://www.nps.gov/aboutus/foia/upload/Carr-Incident-Damage-Inspection-Report_508.zip" TargetMode="External"/><Relationship Id="rId29" Type="http://schemas.openxmlformats.org/officeDocument/2006/relationships/hyperlink" Target="https://services3.arcgis.com/T4QMspbfLg3qTGWY/arcgis/rest/services/Historic_Geomac_Perimeters_2018/FeatureServer/0/query?objectIds=2595&amp;outFields=%2A&amp;returnGeometry=false&amp;f=pjson" TargetMode="External"/><Relationship Id="rId24" Type="http://schemas.openxmlformats.org/officeDocument/2006/relationships/hyperlink" Target="https://services3.arcgis.com/T4QMspbfLg3qTGWY/arcgis/rest/services/Historic_Geomac_Perimeters_2018/FeatureServer/0/query?objectIds=801&amp;outFields=%2A&amp;returnGeometry=false&amp;f=pjson" TargetMode="External"/><Relationship Id="rId40" Type="http://schemas.openxmlformats.org/officeDocument/2006/relationships/hyperlink" Target="https://doi.org/10.6084/m9.figshare.19858927.v3" TargetMode="External"/><Relationship Id="rId45" Type="http://schemas.openxmlformats.org/officeDocument/2006/relationships/hyperlink" Target="https://doi.org/10.6084/m9.figshare.19858927.v3" TargetMode="External"/><Relationship Id="rId66" Type="http://schemas.openxmlformats.org/officeDocument/2006/relationships/hyperlink" Target="https://doi.org/10.6084/m9.figshare.19858927.v3" TargetMode="External"/><Relationship Id="rId87" Type="http://schemas.openxmlformats.org/officeDocument/2006/relationships/hyperlink" Target="https://services3.arcgis.com/T4QMspbfLg3qTGWY/arcgis/rest/services/Historic_Geomac_Perimeters_2018/FeatureServer/0/query?objectIds=3598&amp;outFields=%2A&amp;returnGeometry=false&amp;f=pjson" TargetMode="External"/><Relationship Id="rId110" Type="http://schemas.openxmlformats.org/officeDocument/2006/relationships/hyperlink" Target="https://doi.org/10.6084/m9.figshare.19858927.v3" TargetMode="External"/><Relationship Id="rId115" Type="http://schemas.openxmlformats.org/officeDocument/2006/relationships/hyperlink" Target="https://doi.org/10.6084/m9.figshare.19858927.v3" TargetMode="External"/><Relationship Id="rId131" Type="http://schemas.openxmlformats.org/officeDocument/2006/relationships/hyperlink" Target="https://doi.org/10.6084/m9.figshare.19858927.v3" TargetMode="External"/><Relationship Id="rId136" Type="http://schemas.openxmlformats.org/officeDocument/2006/relationships/hyperlink" Target="https://doi.org/10.6084/m9.figshare.19858927.v3" TargetMode="External"/><Relationship Id="rId157" Type="http://schemas.openxmlformats.org/officeDocument/2006/relationships/hyperlink" Target="https://doi.org/10.1038/s41597-022-01343-0" TargetMode="External"/><Relationship Id="rId61" Type="http://schemas.openxmlformats.org/officeDocument/2006/relationships/hyperlink" Target="https://doi.org/10.6084/m9.figshare.19858927.v3" TargetMode="External"/><Relationship Id="rId82" Type="http://schemas.openxmlformats.org/officeDocument/2006/relationships/hyperlink" Target="https://doi.org/10.6084/m9.figshare.19858927.v3" TargetMode="External"/><Relationship Id="rId152" Type="http://schemas.openxmlformats.org/officeDocument/2006/relationships/hyperlink" Target="https://doi.org/10.6084/m9.figshare.19858927.v3" TargetMode="External"/><Relationship Id="rId19" Type="http://schemas.openxmlformats.org/officeDocument/2006/relationships/hyperlink" Target="https://services3.arcgis.com/T4QMspbfLg3qTGWY/arcgis/rest/services/Historic_Geomac_Perimeters_2018/FeatureServer/0/query?objectIds=4522&amp;outFields=%2A&amp;returnGeometry=false&amp;f=pjson" TargetMode="External"/><Relationship Id="rId14" Type="http://schemas.openxmlformats.org/officeDocument/2006/relationships/hyperlink" Target="https://doi.org/10.6084/m9.figshare.19858927.v3" TargetMode="External"/><Relationship Id="rId30" Type="http://schemas.openxmlformats.org/officeDocument/2006/relationships/hyperlink" Target="https://lessons.wildfire.gov/incident/carr-fire-entrapment-fatalities-2018" TargetMode="External"/><Relationship Id="rId35" Type="http://schemas.openxmlformats.org/officeDocument/2006/relationships/hyperlink" Target="https://services3.arcgis.com/T4QMspbfLg3qTGWY/arcgis/rest/services/Historic_Geomac_Perimeters_2018/FeatureServer/0/query?objectIds=635&amp;outFields=%2A&amp;returnGeometry=false&amp;f=pjson" TargetMode="External"/><Relationship Id="rId56" Type="http://schemas.openxmlformats.org/officeDocument/2006/relationships/hyperlink" Target="https://services3.arcgis.com/T4QMspbfLg3qTGWY/arcgis/rest/services/Historic_Geomac_Perimeters_2018/FeatureServer/0/query?objectIds=21&amp;outFields=%2A&amp;returnGeometry=false&amp;f=pjson" TargetMode="External"/><Relationship Id="rId77" Type="http://schemas.openxmlformats.org/officeDocument/2006/relationships/hyperlink" Target="https://doi.org/10.6084/m9.figshare.19858927.v3" TargetMode="External"/><Relationship Id="rId100" Type="http://schemas.openxmlformats.org/officeDocument/2006/relationships/hyperlink" Target="https://services3.arcgis.com/T4QMspbfLg3qTGWY/arcgis/rest/services/Historic_Geomac_Perimeters_2018/FeatureServer/0/query?objectIds=4195&amp;outFields=%2A&amp;returnGeometry=false&amp;f=pjson" TargetMode="External"/><Relationship Id="rId105" Type="http://schemas.openxmlformats.org/officeDocument/2006/relationships/hyperlink" Target="https://services3.arcgis.com/T4QMspbfLg3qTGWY/arcgis/rest/services/Historic_Geomac_Perimeters_2018/FeatureServer/0/query?objectIds=1226&amp;outFields=%2A&amp;returnGeometry=false&amp;f=pjson" TargetMode="External"/><Relationship Id="rId126" Type="http://schemas.openxmlformats.org/officeDocument/2006/relationships/hyperlink" Target="https://doi.org/10.6084/m9.figshare.19858927.v3" TargetMode="External"/><Relationship Id="rId147" Type="http://schemas.openxmlformats.org/officeDocument/2006/relationships/hyperlink" Target="https://doi.org/10.6084/m9.figshare.19858927.v3" TargetMode="External"/><Relationship Id="rId8" Type="http://schemas.openxmlformats.org/officeDocument/2006/relationships/hyperlink" Target="https://doi.org/10.6084/m9.figshare.19858927.v3" TargetMode="External"/><Relationship Id="rId51" Type="http://schemas.openxmlformats.org/officeDocument/2006/relationships/hyperlink" Target="https://services3.arcgis.com/T4QMspbfLg3qTGWY/arcgis/rest/services/Historic_Geomac_Perimeters_2018/FeatureServer/0/query?objectIds=555&amp;outFields=%2A&amp;returnGeometry=false&amp;f=pjson" TargetMode="External"/><Relationship Id="rId72" Type="http://schemas.openxmlformats.org/officeDocument/2006/relationships/hyperlink" Target="https://services3.arcgis.com/T4QMspbfLg3qTGWY/arcgis/rest/services/Historic_Geomac_Perimeters_2018/FeatureServer/0/query?objectIds=3020&amp;outFields=%2A&amp;returnGeometry=false&amp;f=pjson" TargetMode="External"/><Relationship Id="rId93" Type="http://schemas.openxmlformats.org/officeDocument/2006/relationships/hyperlink" Target="https://doi.org/10.6084/m9.figshare.19858927.v3" TargetMode="External"/><Relationship Id="rId98" Type="http://schemas.openxmlformats.org/officeDocument/2006/relationships/hyperlink" Target="https://doi.org/10.6084/m9.figshare.19858927.v3" TargetMode="External"/><Relationship Id="rId121" Type="http://schemas.openxmlformats.org/officeDocument/2006/relationships/hyperlink" Target="https://doi.org/10.6084/m9.figshare.19858927.v3" TargetMode="External"/><Relationship Id="rId142" Type="http://schemas.openxmlformats.org/officeDocument/2006/relationships/hyperlink" Target="https://doi.org/10.6084/m9.figshare.19858927.v3" TargetMode="External"/><Relationship Id="rId3" Type="http://schemas.openxmlformats.org/officeDocument/2006/relationships/hyperlink" Target="https://services3.arcgis.com/T4QMspbfLg3qTGWY/arcgis/rest/services/Historic_Geomac_Perimeters_2018/FeatureServer/0/query?objectIds=3089&amp;outFields=%2A&amp;returnGeometry=false&amp;f=pjson" TargetMode="External"/><Relationship Id="rId25" Type="http://schemas.openxmlformats.org/officeDocument/2006/relationships/hyperlink" Target="https://www.nps.gov/whis/carr-fire-timeline.htm" TargetMode="External"/><Relationship Id="rId46" Type="http://schemas.openxmlformats.org/officeDocument/2006/relationships/hyperlink" Target="https://doi.org/10.6084/m9.figshare.19858927.v3" TargetMode="External"/><Relationship Id="rId67" Type="http://schemas.openxmlformats.org/officeDocument/2006/relationships/hyperlink" Target="https://services3.arcgis.com/T4QMspbfLg3qTGWY/arcgis/rest/services/Historic_Geomac_Perimeters_2018/FeatureServer/0/query?objectIds=156&amp;outFields=%2A&amp;returnGeometry=false&amp;f=pjson" TargetMode="External"/><Relationship Id="rId116" Type="http://schemas.openxmlformats.org/officeDocument/2006/relationships/hyperlink" Target="https://services3.arcgis.com/T4QMspbfLg3qTGWY/arcgis/rest/services/Historic_Geomac_Perimeters_2018/FeatureServer/0/query?objectIds=3911&amp;outFields=%2A&amp;returnGeometry=false&amp;f=pjson" TargetMode="External"/><Relationship Id="rId137" Type="http://schemas.openxmlformats.org/officeDocument/2006/relationships/hyperlink" Target="https://doi.org/10.6084/m9.figshare.19858927.v3" TargetMode="External"/><Relationship Id="rId158" Type="http://schemas.openxmlformats.org/officeDocument/2006/relationships/hyperlink" Target="https://doi.org/10.3390/fire3030043" TargetMode="External"/><Relationship Id="rId20" Type="http://schemas.openxmlformats.org/officeDocument/2006/relationships/hyperlink" Target="https://doi.org/10.6084/m9.figshare.19858927.v3" TargetMode="External"/><Relationship Id="rId41" Type="http://schemas.openxmlformats.org/officeDocument/2006/relationships/hyperlink" Target="https://doi.org/10.6084/m9.figshare.19858927.v3" TargetMode="External"/><Relationship Id="rId62" Type="http://schemas.openxmlformats.org/officeDocument/2006/relationships/hyperlink" Target="https://doi.org/10.6084/m9.figshare.19858927.v3" TargetMode="External"/><Relationship Id="rId83" Type="http://schemas.openxmlformats.org/officeDocument/2006/relationships/hyperlink" Target="https://services3.arcgis.com/T4QMspbfLg3qTGWY/arcgis/rest/services/Historic_Geomac_Perimeters_2018/FeatureServer/0/query?objectIds=4024&amp;outFields=%2A&amp;returnGeometry=false&amp;f=pjson" TargetMode="External"/><Relationship Id="rId88" Type="http://schemas.openxmlformats.org/officeDocument/2006/relationships/hyperlink" Target="https://services3.arcgis.com/T4QMspbfLg3qTGWY/arcgis/rest/services/Historic_Geomac_Perimeters_2018/FeatureServer/0/query?objectIds=3611&amp;outFields=%2A&amp;returnGeometry=false&amp;f=pjson" TargetMode="External"/><Relationship Id="rId111" Type="http://schemas.openxmlformats.org/officeDocument/2006/relationships/hyperlink" Target="https://services3.arcgis.com/T4QMspbfLg3qTGWY/arcgis/rest/services/Historic_Geomac_Perimeters_2018/FeatureServer/0/query?objectIds=4687&amp;outFields=%2A&amp;returnGeometry=false&amp;f=pjson" TargetMode="External"/><Relationship Id="rId132" Type="http://schemas.openxmlformats.org/officeDocument/2006/relationships/hyperlink" Target="https://services3.arcgis.com/T4QMspbfLg3qTGWY/arcgis/rest/services/Historic_Geomac_Perimeters_2018/FeatureServer/0/query?objectIds=4863&amp;outFields=%2A&amp;returnGeometry=false&amp;f=pjson" TargetMode="External"/><Relationship Id="rId153" Type="http://schemas.openxmlformats.org/officeDocument/2006/relationships/hyperlink" Target="https://services3.arcgis.com/T4QMspbfLg3qTGWY/arcgis/rest/services/Historic_Geomac_Perimeters_2018/FeatureServer/0/query?objectIds=4270&amp;outFields=%2A&amp;returnGeometry=false&amp;f=pjson" TargetMode="External"/><Relationship Id="rId15" Type="http://schemas.openxmlformats.org/officeDocument/2006/relationships/hyperlink" Target="https://services3.arcgis.com/T4QMspbfLg3qTGWY/arcgis/rest/services/Historic_Geomac_Perimeters_2018/FeatureServer/0/query?objectIds=848&amp;outFields=%2A&amp;returnGeometry=false&amp;f=pjson" TargetMode="External"/><Relationship Id="rId36" Type="http://schemas.openxmlformats.org/officeDocument/2006/relationships/hyperlink" Target="https://www.nps.gov/whis/carr-fire-timeline.htm" TargetMode="External"/><Relationship Id="rId57" Type="http://schemas.openxmlformats.org/officeDocument/2006/relationships/hyperlink" Target="https://doi.org/10.6084/m9.figshare.19858927.v3" TargetMode="External"/><Relationship Id="rId106" Type="http://schemas.openxmlformats.org/officeDocument/2006/relationships/hyperlink" Target="https://doi.org/10.6084/m9.figshare.19858927.v3" TargetMode="External"/><Relationship Id="rId127" Type="http://schemas.openxmlformats.org/officeDocument/2006/relationships/hyperlink" Target="https://doi.org/10.6084/m9.figshare.19858927.v3" TargetMode="External"/><Relationship Id="rId10" Type="http://schemas.openxmlformats.org/officeDocument/2006/relationships/hyperlink" Target="https://doi.org/10.6084/m9.figshare.19858927.v3" TargetMode="External"/><Relationship Id="rId31" Type="http://schemas.openxmlformats.org/officeDocument/2006/relationships/hyperlink" Target="https://doi.org/10.1029/2018GL080667" TargetMode="External"/><Relationship Id="rId52" Type="http://schemas.openxmlformats.org/officeDocument/2006/relationships/hyperlink" Target="https://doi.org/10.6084/m9.figshare.19858927.v3" TargetMode="External"/><Relationship Id="rId73" Type="http://schemas.openxmlformats.org/officeDocument/2006/relationships/hyperlink" Target="https://doi.org/10.6084/m9.figshare.19858927.v3" TargetMode="External"/><Relationship Id="rId78" Type="http://schemas.openxmlformats.org/officeDocument/2006/relationships/hyperlink" Target="https://doi.org/10.6084/m9.figshare.19858927.v3" TargetMode="External"/><Relationship Id="rId94" Type="http://schemas.openxmlformats.org/officeDocument/2006/relationships/hyperlink" Target="https://doi.org/10.6084/m9.figshare.19858927.v3" TargetMode="External"/><Relationship Id="rId99" Type="http://schemas.openxmlformats.org/officeDocument/2006/relationships/hyperlink" Target="https://services3.arcgis.com/T4QMspbfLg3qTGWY/arcgis/rest/services/Historic_Geomac_Perimeters_2018/FeatureServer/0/query?objectIds=1223&amp;outFields=%2A&amp;returnGeometry=false&amp;f=pjson" TargetMode="External"/><Relationship Id="rId101" Type="http://schemas.openxmlformats.org/officeDocument/2006/relationships/hyperlink" Target="https://doi.org/10.6084/m9.figshare.19858927.v3" TargetMode="External"/><Relationship Id="rId122" Type="http://schemas.openxmlformats.org/officeDocument/2006/relationships/hyperlink" Target="https://services3.arcgis.com/T4QMspbfLg3qTGWY/arcgis/rest/services/Historic_Geomac_Perimeters_2018/FeatureServer/0/query?objectIds=4332&amp;outFields=%2A&amp;returnGeometry=false&amp;f=pjson" TargetMode="External"/><Relationship Id="rId143" Type="http://schemas.openxmlformats.org/officeDocument/2006/relationships/hyperlink" Target="https://doi.org/10.6084/m9.figshare.19858927.v3" TargetMode="External"/><Relationship Id="rId148" Type="http://schemas.openxmlformats.org/officeDocument/2006/relationships/hyperlink" Target="https://services3.arcgis.com/T4QMspbfLg3qTGWY/arcgis/rest/services/Historic_Geomac_Perimeters_2018/FeatureServer/0/query?objectIds=1488&amp;outFields=%2A&amp;returnGeometry=false&amp;f=pjson" TargetMode="External"/><Relationship Id="rId4" Type="http://schemas.openxmlformats.org/officeDocument/2006/relationships/hyperlink" Target="https://services3.arcgis.com/T4QMspbfLg3qTGWY/arcgis/rest/services/Historic_Geomac_Perimeters_2018/FeatureServer/0/query?objectIds=933&amp;outFields=%2A&amp;returnGeometry=false&amp;f=pjson" TargetMode="External"/><Relationship Id="rId9" Type="http://schemas.openxmlformats.org/officeDocument/2006/relationships/hyperlink" Target="https://doi.org/10.3390/fire5050147" TargetMode="External"/><Relationship Id="rId26" Type="http://schemas.openxmlformats.org/officeDocument/2006/relationships/hyperlink" Target="https://doi.org/10.6084/m9.figshare.19858927.v3" TargetMode="External"/><Relationship Id="rId47" Type="http://schemas.openxmlformats.org/officeDocument/2006/relationships/hyperlink" Target="https://services3.arcgis.com/T4QMspbfLg3qTGWY/arcgis/rest/services/Historic_Geomac_Perimeters_2018/FeatureServer/0/query?objectIds=3142&amp;outFields=%2A&amp;returnGeometry=false&amp;f=pjson" TargetMode="External"/><Relationship Id="rId68" Type="http://schemas.openxmlformats.org/officeDocument/2006/relationships/hyperlink" Target="https://services3.arcgis.com/T4QMspbfLg3qTGWY/arcgis/rest/services/Historic_Geomac_Perimeters_2018/FeatureServer/0/query?objectIds=155&amp;outFields=%2A&amp;returnGeometry=false&amp;f=pjson" TargetMode="External"/><Relationship Id="rId89" Type="http://schemas.openxmlformats.org/officeDocument/2006/relationships/hyperlink" Target="https://doi.org/10.6084/m9.figshare.19858927.v3" TargetMode="External"/><Relationship Id="rId112" Type="http://schemas.openxmlformats.org/officeDocument/2006/relationships/hyperlink" Target="https://services3.arcgis.com/T4QMspbfLg3qTGWY/arcgis/rest/services/Historic_Geomac_Perimeters_2018/FeatureServer/0/query?objectIds=4682&amp;outFields=%2A&amp;returnGeometry=false&amp;f=pjson" TargetMode="External"/><Relationship Id="rId133" Type="http://schemas.openxmlformats.org/officeDocument/2006/relationships/hyperlink" Target="https://doi.org/10.6084/m9.figshare.19858927.v3" TargetMode="External"/><Relationship Id="rId154" Type="http://schemas.openxmlformats.org/officeDocument/2006/relationships/hyperlink" Target="https://www.fire.ca.gov/incidents/2018/7/23/carr-fire" TargetMode="External"/><Relationship Id="rId16" Type="http://schemas.openxmlformats.org/officeDocument/2006/relationships/hyperlink" Target="https://www.nps.gov/whis/carr-fire-timeline.htm" TargetMode="External"/><Relationship Id="rId37" Type="http://schemas.openxmlformats.org/officeDocument/2006/relationships/hyperlink" Target="https://doi.org/10.6084/m9.figshare.19858927.v3" TargetMode="External"/><Relationship Id="rId58" Type="http://schemas.openxmlformats.org/officeDocument/2006/relationships/hyperlink" Target="https://doi.org/10.6084/m9.figshare.19858927.v3" TargetMode="External"/><Relationship Id="rId79" Type="http://schemas.openxmlformats.org/officeDocument/2006/relationships/hyperlink" Target="https://services3.arcgis.com/T4QMspbfLg3qTGWY/arcgis/rest/services/Historic_Geomac_Perimeters_2018/FeatureServer/0/query?objectIds=3883&amp;outFields=%2A&amp;returnGeometry=false&amp;f=pjson" TargetMode="External"/><Relationship Id="rId102" Type="http://schemas.openxmlformats.org/officeDocument/2006/relationships/hyperlink" Target="https://doi.org/10.6084/m9.figshare.19858927.v3" TargetMode="External"/><Relationship Id="rId123" Type="http://schemas.openxmlformats.org/officeDocument/2006/relationships/hyperlink" Target="https://doi.org/10.6084/m9.figshare.19858927.v3" TargetMode="External"/><Relationship Id="rId144" Type="http://schemas.openxmlformats.org/officeDocument/2006/relationships/hyperlink" Target="https://doi.org/10.6084/m9.figshare.19858927.v3" TargetMode="External"/><Relationship Id="rId90" Type="http://schemas.openxmlformats.org/officeDocument/2006/relationships/hyperlink" Target="https://doi.org/10.6084/m9.figshare.19858927.v3" TargetMode="External"/><Relationship Id="rId27" Type="http://schemas.openxmlformats.org/officeDocument/2006/relationships/hyperlink" Target="https://services3.arcgis.com/T4QMspbfLg3qTGWY/arcgis/rest/services/Historic_Geomac_Perimeters_2018/FeatureServer/0/query?objectIds=4582&amp;outFields=%2A&amp;returnGeometry=false&amp;f=pjson" TargetMode="External"/><Relationship Id="rId48" Type="http://schemas.openxmlformats.org/officeDocument/2006/relationships/hyperlink" Target="https://services3.arcgis.com/T4QMspbfLg3qTGWY/arcgis/rest/services/Historic_Geomac_Perimeters_2018/FeatureServer/0/query?objectIds=3174&amp;outFields=%2A&amp;returnGeometry=false&amp;f=pjson" TargetMode="External"/><Relationship Id="rId69" Type="http://schemas.openxmlformats.org/officeDocument/2006/relationships/hyperlink" Target="https://doi.org/10.6084/m9.figshare.19858927.v3" TargetMode="External"/><Relationship Id="rId113" Type="http://schemas.openxmlformats.org/officeDocument/2006/relationships/hyperlink" Target="https://doi.org/10.6084/m9.figshare.19858927.v3" TargetMode="External"/><Relationship Id="rId134" Type="http://schemas.openxmlformats.org/officeDocument/2006/relationships/hyperlink" Target="https://doi.org/10.6084/m9.figshare.19858927.v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ssets1.cbsnewsstatic.com/i/cbslocal/wp-content/uploads/sites/15116056/2020/09/LNU-Lightning-Complex-Incident-Update-9.1.2020-7AM.pdf" TargetMode="External"/><Relationship Id="rId18" Type="http://schemas.openxmlformats.org/officeDocument/2006/relationships/hyperlink" Target="https://doi.org/10.6084/m9.figshare.c.5601537.v1" TargetMode="External"/><Relationship Id="rId26" Type="http://schemas.openxmlformats.org/officeDocument/2006/relationships/hyperlink" Target="https://lessons.wildfire.gov/incident/carr-fire-entrapment-fatalities-2018" TargetMode="External"/><Relationship Id="rId39" Type="http://schemas.openxmlformats.org/officeDocument/2006/relationships/hyperlink" Target="https://www.nps.gov/aboutus/foia/upload/Carr-Incident-Damage-Inspection-Report_508.zip" TargetMode="External"/><Relationship Id="rId21" Type="http://schemas.openxmlformats.org/officeDocument/2006/relationships/hyperlink" Target="https://doi.org/10.6084/m9.figshare.19858927.v3" TargetMode="External"/><Relationship Id="rId34" Type="http://schemas.openxmlformats.org/officeDocument/2006/relationships/hyperlink" Target="https://services3.arcgis.com/T4QMspbfLg3qTGWY/arcgis/rest/services/Historic_Geomac_Perimeters_2018/FeatureServer/0" TargetMode="External"/><Relationship Id="rId7" Type="http://schemas.openxmlformats.org/officeDocument/2006/relationships/hyperlink" Target="https://services3.arcgis.com/T4QMspbfLg3qTGWY/arcgis/rest/services/Historic_Geomac_Perimeters_2016/FeatureServer/0" TargetMode="External"/><Relationship Id="rId12" Type="http://schemas.openxmlformats.org/officeDocument/2006/relationships/hyperlink" Target="https://www.frames.gov/documents/catalog/calkin_et_al_2016_PioneerFireInquiry.pdf" TargetMode="External"/><Relationship Id="rId17" Type="http://schemas.openxmlformats.org/officeDocument/2006/relationships/hyperlink" Target="https://doi.org/10.1038/s41597-022-01343-0" TargetMode="External"/><Relationship Id="rId25" Type="http://schemas.openxmlformats.org/officeDocument/2006/relationships/hyperlink" Target="https://doi.org/10.1186/s42408-025-00377-0" TargetMode="External"/><Relationship Id="rId33" Type="http://schemas.openxmlformats.org/officeDocument/2006/relationships/hyperlink" Target="https://www.nps.gov/whis/carr-fire-timeline.htm" TargetMode="External"/><Relationship Id="rId38" Type="http://schemas.openxmlformats.org/officeDocument/2006/relationships/hyperlink" Target="https://www.nps.gov/aboutus/foia/upload/Carr-Fire-Origin-and-Cause-Report-2-23-21_Redacted-w-cover.zip" TargetMode="External"/><Relationship Id="rId2" Type="http://schemas.openxmlformats.org/officeDocument/2006/relationships/hyperlink" Target="https://wildfiretoday.com/usfs-regional-fire-director-describes-the-management-of-the-pioneer-fire/" TargetMode="External"/><Relationship Id="rId16" Type="http://schemas.openxmlformats.org/officeDocument/2006/relationships/hyperlink" Target="https://services1.arcgis.com/jUJYIo9tSA7EHvfZ/arcgis/rest/services/LNU_Complex_Perimeter_20200828/FeatureServer/0" TargetMode="External"/><Relationship Id="rId20" Type="http://schemas.openxmlformats.org/officeDocument/2006/relationships/hyperlink" Target="https://doi.org/10.3390/rs16163050" TargetMode="External"/><Relationship Id="rId29" Type="http://schemas.openxmlformats.org/officeDocument/2006/relationships/hyperlink" Target="https://doi.org/10.3390/fire3030043" TargetMode="External"/><Relationship Id="rId1" Type="http://schemas.openxmlformats.org/officeDocument/2006/relationships/hyperlink" Target="https://repository.library.noaa.gov/view/noaa/26432" TargetMode="External"/><Relationship Id="rId6" Type="http://schemas.openxmlformats.org/officeDocument/2006/relationships/hyperlink" Target="https://doi.org/10.5194/acp-23-1-2023" TargetMode="External"/><Relationship Id="rId11" Type="http://schemas.openxmlformats.org/officeDocument/2006/relationships/hyperlink" Target="https://yellowpinetimes.wordpress.com/2016/09/29/fire-update-sept-29/" TargetMode="External"/><Relationship Id="rId24" Type="http://schemas.openxmlformats.org/officeDocument/2006/relationships/hyperlink" Target="https://doi.org/10.5281/zenodo.14642378" TargetMode="External"/><Relationship Id="rId32" Type="http://schemas.openxmlformats.org/officeDocument/2006/relationships/hyperlink" Target="https://doi.org/10.3390/fire5050147" TargetMode="External"/><Relationship Id="rId37" Type="http://schemas.openxmlformats.org/officeDocument/2006/relationships/hyperlink" Target="https://doi.org/10.1109/JSTARS.2020.3019261" TargetMode="External"/><Relationship Id="rId40" Type="http://schemas.openxmlformats.org/officeDocument/2006/relationships/table" Target="../tables/table4.xml"/><Relationship Id="rId5" Type="http://schemas.openxmlformats.org/officeDocument/2006/relationships/hyperlink" Target="https://www.nasa.gov/image-article/pioneer-fire-maple-fire-burning-still/" TargetMode="External"/><Relationship Id="rId15" Type="http://schemas.openxmlformats.org/officeDocument/2006/relationships/hyperlink" Target="https://solano.legistar.com/View.ashx?GUID=799ECBBD-7436-4FA7-89B8-A2B43E740ABA&amp;ID=9448423&amp;M=F" TargetMode="External"/><Relationship Id="rId23" Type="http://schemas.openxmlformats.org/officeDocument/2006/relationships/hyperlink" Target="https://essd.copernicus.org/articles/16/1395/2024/" TargetMode="External"/><Relationship Id="rId28" Type="http://schemas.openxmlformats.org/officeDocument/2006/relationships/hyperlink" Target="https://doi.org/10.1038/s41597-022-01343-0" TargetMode="External"/><Relationship Id="rId36" Type="http://schemas.openxmlformats.org/officeDocument/2006/relationships/hyperlink" Target="https://doi.org/10.1016/j.ecoinf.2026.103777" TargetMode="External"/><Relationship Id="rId10" Type="http://schemas.openxmlformats.org/officeDocument/2006/relationships/hyperlink" Target="https://yellowpinetimes.wordpress.com/2016/08/01/fire-update-aug-1/" TargetMode="External"/><Relationship Id="rId19" Type="http://schemas.openxmlformats.org/officeDocument/2006/relationships/hyperlink" Target="https://www.mdpi.com/2072-4292/13/11/2203" TargetMode="External"/><Relationship Id="rId31" Type="http://schemas.openxmlformats.org/officeDocument/2006/relationships/hyperlink" Target="https://doi.org/10.1029/2018GL080667" TargetMode="External"/><Relationship Id="rId4" Type="http://schemas.openxmlformats.org/officeDocument/2006/relationships/hyperlink" Target="https://doi.org/10.6084/m9.figshare.19858927.v3" TargetMode="External"/><Relationship Id="rId9" Type="http://schemas.openxmlformats.org/officeDocument/2006/relationships/hyperlink" Target="https://doi.org/10.1029/2020GL089001" TargetMode="External"/><Relationship Id="rId14" Type="http://schemas.openxmlformats.org/officeDocument/2006/relationships/hyperlink" Target="https://www.fire.ca.gov/incidents/2020/8/17/lnu-lightning-complex" TargetMode="External"/><Relationship Id="rId22" Type="http://schemas.openxmlformats.org/officeDocument/2006/relationships/hyperlink" Target="https://lakeconews.com/news/66725-officials-lnu-lightning-complex-expected-to-be-fully-contained-at-start-of-october" TargetMode="External"/><Relationship Id="rId27" Type="http://schemas.openxmlformats.org/officeDocument/2006/relationships/hyperlink" Target="https://www.fire.ca.gov/incidents/2018/7/23/carr-fire" TargetMode="External"/><Relationship Id="rId30" Type="http://schemas.openxmlformats.org/officeDocument/2006/relationships/hyperlink" Target="https://doi.org/10.6084/m9.figshare.19858927.v3" TargetMode="External"/><Relationship Id="rId35" Type="http://schemas.openxmlformats.org/officeDocument/2006/relationships/hyperlink" Target="https://data-nifc.opendata.arcgis.com/" TargetMode="External"/><Relationship Id="rId8" Type="http://schemas.openxmlformats.org/officeDocument/2006/relationships/hyperlink" Target="https://data-nifc.opendata.arcgis.com/" TargetMode="External"/><Relationship Id="rId3" Type="http://schemas.openxmlformats.org/officeDocument/2006/relationships/hyperlink" Target="https://doi.org/10.3390/fire2020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showGridLines="0" workbookViewId="0">
      <pane ySplit="1" topLeftCell="A22" activePane="bottomLeft" state="frozen"/>
      <selection pane="bottomLeft" sqref="A1:D1048576"/>
    </sheetView>
  </sheetViews>
  <sheetFormatPr defaultRowHeight="13.8"/>
  <cols>
    <col min="1" max="1" width="31" style="3" customWidth="1"/>
    <col min="2" max="2" width="14" style="3" customWidth="1"/>
    <col min="3" max="3" width="40" style="3" customWidth="1"/>
    <col min="4" max="4" width="43" style="3" customWidth="1"/>
    <col min="5" max="5" width="52" style="11" customWidth="1"/>
    <col min="6" max="16384" width="8.76171875" style="11"/>
  </cols>
  <sheetData>
    <row r="1" spans="1:5" ht="32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</row>
    <row r="2" spans="1:5" ht="48" customHeight="1">
      <c r="A2" s="4">
        <v>42569.720138888886</v>
      </c>
      <c r="B2" s="5"/>
      <c r="C2" s="6" t="s">
        <v>5</v>
      </c>
      <c r="D2" s="7" t="s">
        <v>6</v>
      </c>
      <c r="E2" s="2" t="s">
        <v>7</v>
      </c>
    </row>
    <row r="3" spans="1:5" ht="62.05" customHeight="1">
      <c r="A3" s="4">
        <v>42569.893750000003</v>
      </c>
      <c r="B3" s="8">
        <v>100</v>
      </c>
      <c r="C3" s="6" t="s">
        <v>5</v>
      </c>
      <c r="D3" s="7" t="s">
        <v>6</v>
      </c>
      <c r="E3" s="2" t="s">
        <v>8</v>
      </c>
    </row>
    <row r="4" spans="1:5" ht="48" customHeight="1">
      <c r="A4" s="4">
        <v>42570.03125</v>
      </c>
      <c r="B4" s="8">
        <v>100</v>
      </c>
      <c r="C4" s="6" t="s">
        <v>9</v>
      </c>
      <c r="D4" s="7" t="s">
        <v>10</v>
      </c>
      <c r="E4" s="2" t="s">
        <v>11</v>
      </c>
    </row>
    <row r="5" spans="1:5" ht="27" customHeight="1">
      <c r="A5" s="4">
        <v>42570.291666666664</v>
      </c>
      <c r="B5" s="5">
        <v>232.09</v>
      </c>
      <c r="C5" s="6" t="s">
        <v>12</v>
      </c>
      <c r="D5" s="7" t="s">
        <v>13</v>
      </c>
      <c r="E5" s="2"/>
    </row>
    <row r="6" spans="1:5" ht="48" customHeight="1">
      <c r="A6" s="4">
        <v>42570.916666666664</v>
      </c>
      <c r="B6" s="8">
        <v>350</v>
      </c>
      <c r="C6" s="6" t="s">
        <v>9</v>
      </c>
      <c r="D6" s="7" t="s">
        <v>10</v>
      </c>
      <c r="E6" s="2" t="s">
        <v>14</v>
      </c>
    </row>
    <row r="7" spans="1:5" ht="27" customHeight="1">
      <c r="A7" s="4">
        <v>42571.083333333336</v>
      </c>
      <c r="B7" s="5">
        <v>517.51</v>
      </c>
      <c r="C7" s="6" t="s">
        <v>12</v>
      </c>
      <c r="D7" s="7" t="s">
        <v>13</v>
      </c>
      <c r="E7" s="2"/>
    </row>
    <row r="8" spans="1:5" ht="48" customHeight="1">
      <c r="A8" s="4">
        <v>42571.833333333336</v>
      </c>
      <c r="B8" s="8">
        <v>620</v>
      </c>
      <c r="C8" s="6" t="s">
        <v>9</v>
      </c>
      <c r="D8" s="7" t="s">
        <v>10</v>
      </c>
      <c r="E8" s="2" t="s">
        <v>15</v>
      </c>
    </row>
    <row r="9" spans="1:5" ht="27" customHeight="1">
      <c r="A9" s="4">
        <v>42572.604166666664</v>
      </c>
      <c r="B9" s="5">
        <v>2004.11</v>
      </c>
      <c r="C9" s="6" t="s">
        <v>12</v>
      </c>
      <c r="D9" s="7" t="s">
        <v>13</v>
      </c>
      <c r="E9" s="2"/>
    </row>
    <row r="10" spans="1:5" ht="48" customHeight="1">
      <c r="A10" s="4">
        <v>42572.666666666664</v>
      </c>
      <c r="B10" s="8">
        <v>1300</v>
      </c>
      <c r="C10" s="6" t="s">
        <v>9</v>
      </c>
      <c r="D10" s="7" t="s">
        <v>10</v>
      </c>
      <c r="E10" s="2" t="s">
        <v>16</v>
      </c>
    </row>
    <row r="11" spans="1:5" ht="27" customHeight="1">
      <c r="A11" s="4">
        <v>42573.709027777775</v>
      </c>
      <c r="B11" s="5">
        <v>3168.28</v>
      </c>
      <c r="C11" s="6" t="s">
        <v>12</v>
      </c>
      <c r="D11" s="7" t="s">
        <v>17</v>
      </c>
      <c r="E11" s="2"/>
    </row>
    <row r="12" spans="1:5" ht="48" customHeight="1">
      <c r="A12" s="4">
        <v>42573.791666666664</v>
      </c>
      <c r="B12" s="8">
        <v>2906</v>
      </c>
      <c r="C12" s="6" t="s">
        <v>9</v>
      </c>
      <c r="D12" s="7" t="s">
        <v>10</v>
      </c>
      <c r="E12" s="2" t="s">
        <v>18</v>
      </c>
    </row>
    <row r="13" spans="1:5" ht="27" customHeight="1">
      <c r="A13" s="4">
        <v>42574.656944444447</v>
      </c>
      <c r="B13" s="5">
        <v>3592.65</v>
      </c>
      <c r="C13" s="6" t="s">
        <v>12</v>
      </c>
      <c r="D13" s="7" t="s">
        <v>17</v>
      </c>
      <c r="E13" s="2"/>
    </row>
    <row r="14" spans="1:5" ht="48" customHeight="1">
      <c r="A14" s="4">
        <v>42574.791666666664</v>
      </c>
      <c r="B14" s="8">
        <v>3528</v>
      </c>
      <c r="C14" s="6" t="s">
        <v>9</v>
      </c>
      <c r="D14" s="7" t="s">
        <v>10</v>
      </c>
      <c r="E14" s="2" t="s">
        <v>19</v>
      </c>
    </row>
    <row r="15" spans="1:5" ht="48" customHeight="1">
      <c r="A15" s="4">
        <v>42575.791666666664</v>
      </c>
      <c r="B15" s="8">
        <v>3725</v>
      </c>
      <c r="C15" s="6" t="s">
        <v>9</v>
      </c>
      <c r="D15" s="7" t="s">
        <v>10</v>
      </c>
      <c r="E15" s="2" t="s">
        <v>20</v>
      </c>
    </row>
    <row r="16" spans="1:5" ht="27" customHeight="1">
      <c r="A16" s="4">
        <v>42575.842361111114</v>
      </c>
      <c r="B16" s="5">
        <v>4224.0200000000004</v>
      </c>
      <c r="C16" s="6" t="s">
        <v>12</v>
      </c>
      <c r="D16" s="7" t="s">
        <v>21</v>
      </c>
      <c r="E16" s="2"/>
    </row>
    <row r="17" spans="1:5" ht="27" customHeight="1">
      <c r="A17" s="4">
        <v>42576</v>
      </c>
      <c r="B17" s="5">
        <v>4228.57</v>
      </c>
      <c r="C17" s="6" t="s">
        <v>12</v>
      </c>
      <c r="D17" s="7" t="s">
        <v>17</v>
      </c>
      <c r="E17" s="2"/>
    </row>
    <row r="18" spans="1:5" ht="27" customHeight="1">
      <c r="A18" s="4">
        <v>42576.554166666669</v>
      </c>
      <c r="B18" s="5">
        <v>4970.82</v>
      </c>
      <c r="C18" s="6" t="s">
        <v>12</v>
      </c>
      <c r="D18" s="7" t="s">
        <v>21</v>
      </c>
      <c r="E18" s="2"/>
    </row>
    <row r="19" spans="1:5" ht="27" customHeight="1">
      <c r="A19" s="4">
        <v>42576.673611111109</v>
      </c>
      <c r="B19" s="5">
        <v>4799.67</v>
      </c>
      <c r="C19" s="6" t="s">
        <v>12</v>
      </c>
      <c r="D19" s="7" t="s">
        <v>17</v>
      </c>
      <c r="E19" s="2"/>
    </row>
    <row r="20" spans="1:5" ht="48" customHeight="1">
      <c r="A20" s="4">
        <v>42576.791666666664</v>
      </c>
      <c r="B20" s="8">
        <v>4602</v>
      </c>
      <c r="C20" s="6" t="s">
        <v>9</v>
      </c>
      <c r="D20" s="7" t="s">
        <v>10</v>
      </c>
      <c r="E20" s="2" t="s">
        <v>22</v>
      </c>
    </row>
    <row r="21" spans="1:5" ht="27" customHeight="1">
      <c r="A21" s="4">
        <v>42577</v>
      </c>
      <c r="B21" s="5">
        <v>4981.37</v>
      </c>
      <c r="C21" s="6" t="s">
        <v>12</v>
      </c>
      <c r="D21" s="7" t="s">
        <v>17</v>
      </c>
      <c r="E21" s="2"/>
    </row>
    <row r="22" spans="1:5" ht="48" customHeight="1">
      <c r="A22" s="4">
        <v>42577.791666666664</v>
      </c>
      <c r="B22" s="8">
        <v>4982</v>
      </c>
      <c r="C22" s="6" t="s">
        <v>9</v>
      </c>
      <c r="D22" s="7" t="s">
        <v>10</v>
      </c>
      <c r="E22" s="2" t="s">
        <v>23</v>
      </c>
    </row>
    <row r="23" spans="1:5" ht="27" customHeight="1">
      <c r="A23" s="4">
        <v>42577.832638888889</v>
      </c>
      <c r="B23" s="5">
        <v>9410.5</v>
      </c>
      <c r="C23" s="6" t="s">
        <v>12</v>
      </c>
      <c r="D23" s="7" t="s">
        <v>17</v>
      </c>
      <c r="E23" s="2"/>
    </row>
    <row r="24" spans="1:5" ht="62.05" customHeight="1">
      <c r="A24" s="9">
        <v>42578</v>
      </c>
      <c r="B24" s="5"/>
      <c r="C24" s="6" t="s">
        <v>24</v>
      </c>
      <c r="D24" s="7" t="s">
        <v>25</v>
      </c>
      <c r="E24" s="2" t="s">
        <v>26</v>
      </c>
    </row>
    <row r="25" spans="1:5" ht="27" customHeight="1">
      <c r="A25" s="4">
        <v>42578.320833333331</v>
      </c>
      <c r="B25" s="5">
        <v>10076.15</v>
      </c>
      <c r="C25" s="6" t="s">
        <v>12</v>
      </c>
      <c r="D25" s="7" t="s">
        <v>21</v>
      </c>
      <c r="E25" s="2"/>
    </row>
    <row r="26" spans="1:5" ht="48" customHeight="1">
      <c r="A26" s="4">
        <v>42578.791666666664</v>
      </c>
      <c r="B26" s="8">
        <v>10084</v>
      </c>
      <c r="C26" s="6" t="s">
        <v>9</v>
      </c>
      <c r="D26" s="7" t="s">
        <v>10</v>
      </c>
      <c r="E26" s="2" t="s">
        <v>27</v>
      </c>
    </row>
    <row r="27" spans="1:5" ht="27" customHeight="1">
      <c r="A27" s="4">
        <v>42578.807638888888</v>
      </c>
      <c r="B27" s="5">
        <v>12869.1</v>
      </c>
      <c r="C27" s="6" t="s">
        <v>12</v>
      </c>
      <c r="D27" s="7" t="s">
        <v>17</v>
      </c>
      <c r="E27" s="2"/>
    </row>
    <row r="28" spans="1:5" ht="27" customHeight="1">
      <c r="A28" s="4">
        <v>42579.698611111111</v>
      </c>
      <c r="B28" s="5">
        <v>16203.9</v>
      </c>
      <c r="C28" s="6" t="s">
        <v>12</v>
      </c>
      <c r="D28" s="7" t="s">
        <v>17</v>
      </c>
      <c r="E28" s="2"/>
    </row>
    <row r="29" spans="1:5" ht="48" customHeight="1">
      <c r="A29" s="4">
        <v>42579.791666666664</v>
      </c>
      <c r="B29" s="8">
        <v>12869</v>
      </c>
      <c r="C29" s="6" t="s">
        <v>9</v>
      </c>
      <c r="D29" s="7" t="s">
        <v>10</v>
      </c>
      <c r="E29" s="2" t="s">
        <v>28</v>
      </c>
    </row>
    <row r="30" spans="1:5" ht="27" customHeight="1">
      <c r="A30" s="4">
        <v>42580.756944444445</v>
      </c>
      <c r="B30" s="5">
        <v>18932.560000000001</v>
      </c>
      <c r="C30" s="6" t="s">
        <v>12</v>
      </c>
      <c r="D30" s="7" t="s">
        <v>17</v>
      </c>
      <c r="E30" s="2"/>
    </row>
    <row r="31" spans="1:5" ht="48" customHeight="1">
      <c r="A31" s="4">
        <v>42580.791666666664</v>
      </c>
      <c r="B31" s="8">
        <v>16204</v>
      </c>
      <c r="C31" s="6" t="s">
        <v>9</v>
      </c>
      <c r="D31" s="7" t="s">
        <v>10</v>
      </c>
      <c r="E31" s="2" t="s">
        <v>29</v>
      </c>
    </row>
    <row r="32" spans="1:5" ht="27" customHeight="1">
      <c r="A32" s="4">
        <v>42581.699305555558</v>
      </c>
      <c r="B32" s="5">
        <v>27417.26</v>
      </c>
      <c r="C32" s="6" t="s">
        <v>12</v>
      </c>
      <c r="D32" s="7" t="s">
        <v>17</v>
      </c>
      <c r="E32" s="2"/>
    </row>
    <row r="33" spans="1:5" ht="48" customHeight="1">
      <c r="A33" s="4">
        <v>42581.791666666664</v>
      </c>
      <c r="B33" s="8">
        <v>18933</v>
      </c>
      <c r="C33" s="6" t="s">
        <v>9</v>
      </c>
      <c r="D33" s="7" t="s">
        <v>10</v>
      </c>
      <c r="E33" s="2" t="s">
        <v>30</v>
      </c>
    </row>
    <row r="34" spans="1:5" ht="27" customHeight="1">
      <c r="A34" s="4">
        <v>42582.708333333336</v>
      </c>
      <c r="B34" s="5">
        <v>38090.870000000003</v>
      </c>
      <c r="C34" s="6" t="s">
        <v>12</v>
      </c>
      <c r="D34" s="7" t="s">
        <v>17</v>
      </c>
      <c r="E34" s="2"/>
    </row>
    <row r="35" spans="1:5" ht="27" customHeight="1">
      <c r="A35" s="4">
        <v>42582.710416666669</v>
      </c>
      <c r="B35" s="5">
        <v>38071.85</v>
      </c>
      <c r="C35" s="6" t="s">
        <v>12</v>
      </c>
      <c r="D35" s="7" t="s">
        <v>17</v>
      </c>
      <c r="E35" s="2"/>
    </row>
    <row r="36" spans="1:5" ht="48" customHeight="1">
      <c r="A36" s="4">
        <v>42582.791666666664</v>
      </c>
      <c r="B36" s="8">
        <v>27417</v>
      </c>
      <c r="C36" s="6" t="s">
        <v>9</v>
      </c>
      <c r="D36" s="7" t="s">
        <v>10</v>
      </c>
      <c r="E36" s="2" t="s">
        <v>31</v>
      </c>
    </row>
    <row r="37" spans="1:5" ht="76" customHeight="1">
      <c r="A37" s="9">
        <v>42583</v>
      </c>
      <c r="B37" s="8">
        <v>38072</v>
      </c>
      <c r="C37" s="6" t="s">
        <v>32</v>
      </c>
      <c r="D37" s="7" t="s">
        <v>33</v>
      </c>
      <c r="E37" s="2" t="s">
        <v>34</v>
      </c>
    </row>
    <row r="38" spans="1:5" ht="27" customHeight="1">
      <c r="A38" s="4">
        <v>42583.354166666664</v>
      </c>
      <c r="B38" s="5">
        <v>38071.85</v>
      </c>
      <c r="C38" s="6" t="s">
        <v>12</v>
      </c>
      <c r="D38" s="7" t="s">
        <v>21</v>
      </c>
      <c r="E38" s="2"/>
    </row>
    <row r="39" spans="1:5" ht="27" customHeight="1">
      <c r="A39" s="4">
        <v>42583.63958333333</v>
      </c>
      <c r="B39" s="5">
        <v>42050.87</v>
      </c>
      <c r="C39" s="6" t="s">
        <v>12</v>
      </c>
      <c r="D39" s="7" t="s">
        <v>17</v>
      </c>
      <c r="E39" s="2"/>
    </row>
    <row r="40" spans="1:5" ht="48" customHeight="1">
      <c r="A40" s="4">
        <v>42583.791666666664</v>
      </c>
      <c r="B40" s="8">
        <v>38072</v>
      </c>
      <c r="C40" s="6" t="s">
        <v>9</v>
      </c>
      <c r="D40" s="7" t="s">
        <v>10</v>
      </c>
      <c r="E40" s="2" t="s">
        <v>35</v>
      </c>
    </row>
    <row r="41" spans="1:5" ht="27" customHeight="1">
      <c r="A41" s="4">
        <v>42584.020833333336</v>
      </c>
      <c r="B41" s="5">
        <v>42030.02</v>
      </c>
      <c r="C41" s="6" t="s">
        <v>12</v>
      </c>
      <c r="D41" s="7" t="s">
        <v>21</v>
      </c>
      <c r="E41" s="2"/>
    </row>
    <row r="42" spans="1:5" ht="48" customHeight="1">
      <c r="A42" s="4">
        <v>42584.791666666664</v>
      </c>
      <c r="B42" s="8">
        <v>42051</v>
      </c>
      <c r="C42" s="6" t="s">
        <v>9</v>
      </c>
      <c r="D42" s="7" t="s">
        <v>10</v>
      </c>
      <c r="E42" s="2" t="s">
        <v>36</v>
      </c>
    </row>
    <row r="43" spans="1:5" ht="27" customHeight="1">
      <c r="A43" s="4">
        <v>42584.852083333331</v>
      </c>
      <c r="B43" s="5">
        <v>48338.29</v>
      </c>
      <c r="C43" s="6" t="s">
        <v>12</v>
      </c>
      <c r="D43" s="7" t="s">
        <v>17</v>
      </c>
      <c r="E43" s="2"/>
    </row>
    <row r="44" spans="1:5" ht="27" customHeight="1">
      <c r="A44" s="4">
        <v>42585.479166666664</v>
      </c>
      <c r="B44" s="5">
        <v>48340.43</v>
      </c>
      <c r="C44" s="6" t="s">
        <v>12</v>
      </c>
      <c r="D44" s="7" t="s">
        <v>21</v>
      </c>
      <c r="E44" s="2"/>
    </row>
    <row r="45" spans="1:5" ht="48" customHeight="1">
      <c r="A45" s="4">
        <v>42585.791666666664</v>
      </c>
      <c r="B45" s="8">
        <v>48350</v>
      </c>
      <c r="C45" s="6" t="s">
        <v>9</v>
      </c>
      <c r="D45" s="7" t="s">
        <v>10</v>
      </c>
      <c r="E45" s="2" t="s">
        <v>37</v>
      </c>
    </row>
    <row r="46" spans="1:5" ht="27" customHeight="1">
      <c r="A46" s="4">
        <v>42585.866666666669</v>
      </c>
      <c r="B46" s="5">
        <v>50477.89</v>
      </c>
      <c r="C46" s="6" t="s">
        <v>12</v>
      </c>
      <c r="D46" s="7" t="s">
        <v>17</v>
      </c>
      <c r="E46" s="2"/>
    </row>
    <row r="47" spans="1:5" ht="27" customHeight="1">
      <c r="A47" s="4">
        <v>42586.208333333336</v>
      </c>
      <c r="B47" s="5">
        <v>50477.72</v>
      </c>
      <c r="C47" s="6" t="s">
        <v>12</v>
      </c>
      <c r="D47" s="7" t="s">
        <v>21</v>
      </c>
      <c r="E47" s="2"/>
    </row>
    <row r="48" spans="1:5" ht="27" customHeight="1">
      <c r="A48" s="4">
        <v>42586.552777777775</v>
      </c>
      <c r="B48" s="5">
        <v>51928.86</v>
      </c>
      <c r="C48" s="6" t="s">
        <v>12</v>
      </c>
      <c r="D48" s="7" t="s">
        <v>17</v>
      </c>
      <c r="E48" s="2"/>
    </row>
    <row r="49" spans="1:5" ht="48" customHeight="1">
      <c r="A49" s="4">
        <v>42586.791666666664</v>
      </c>
      <c r="B49" s="8">
        <v>50478</v>
      </c>
      <c r="C49" s="6" t="s">
        <v>9</v>
      </c>
      <c r="D49" s="7" t="s">
        <v>10</v>
      </c>
      <c r="E49" s="2" t="s">
        <v>38</v>
      </c>
    </row>
    <row r="50" spans="1:5" ht="48" customHeight="1">
      <c r="A50" s="4">
        <v>42587.791666666664</v>
      </c>
      <c r="B50" s="8">
        <v>51903</v>
      </c>
      <c r="C50" s="6" t="s">
        <v>9</v>
      </c>
      <c r="D50" s="7" t="s">
        <v>10</v>
      </c>
      <c r="E50" s="2" t="s">
        <v>39</v>
      </c>
    </row>
    <row r="51" spans="1:5" ht="27" customHeight="1">
      <c r="A51" s="4">
        <v>42587.82916666667</v>
      </c>
      <c r="B51" s="5">
        <v>58118.48</v>
      </c>
      <c r="C51" s="6" t="s">
        <v>12</v>
      </c>
      <c r="D51" s="7" t="s">
        <v>17</v>
      </c>
      <c r="E51" s="2"/>
    </row>
    <row r="52" spans="1:5" ht="27" customHeight="1">
      <c r="A52" s="4">
        <v>42588.772916666669</v>
      </c>
      <c r="B52" s="5">
        <v>60872.42</v>
      </c>
      <c r="C52" s="6" t="s">
        <v>12</v>
      </c>
      <c r="D52" s="7" t="s">
        <v>17</v>
      </c>
      <c r="E52" s="2"/>
    </row>
    <row r="53" spans="1:5" ht="48" customHeight="1">
      <c r="A53" s="4">
        <v>42588.791666666664</v>
      </c>
      <c r="B53" s="8">
        <v>58136</v>
      </c>
      <c r="C53" s="6" t="s">
        <v>9</v>
      </c>
      <c r="D53" s="7" t="s">
        <v>10</v>
      </c>
      <c r="E53" s="2" t="s">
        <v>40</v>
      </c>
    </row>
    <row r="54" spans="1:5" ht="27" customHeight="1">
      <c r="A54" s="4">
        <v>42589.697916666664</v>
      </c>
      <c r="B54" s="5">
        <v>63352.52</v>
      </c>
      <c r="C54" s="6" t="s">
        <v>12</v>
      </c>
      <c r="D54" s="7" t="s">
        <v>17</v>
      </c>
      <c r="E54" s="2"/>
    </row>
    <row r="55" spans="1:5" ht="48" customHeight="1">
      <c r="A55" s="4">
        <v>42589.791666666664</v>
      </c>
      <c r="B55" s="8">
        <v>60882</v>
      </c>
      <c r="C55" s="6" t="s">
        <v>9</v>
      </c>
      <c r="D55" s="7" t="s">
        <v>10</v>
      </c>
      <c r="E55" s="2" t="s">
        <v>41</v>
      </c>
    </row>
    <row r="56" spans="1:5" ht="48" customHeight="1">
      <c r="A56" s="4">
        <v>42590.791666666664</v>
      </c>
      <c r="B56" s="8">
        <v>63362</v>
      </c>
      <c r="C56" s="6" t="s">
        <v>9</v>
      </c>
      <c r="D56" s="7" t="s">
        <v>10</v>
      </c>
      <c r="E56" s="2" t="s">
        <v>42</v>
      </c>
    </row>
    <row r="57" spans="1:5" ht="27" customHeight="1">
      <c r="A57" s="4">
        <v>42590.84097222222</v>
      </c>
      <c r="B57" s="5">
        <v>64342.23</v>
      </c>
      <c r="C57" s="6" t="s">
        <v>12</v>
      </c>
      <c r="D57" s="7" t="s">
        <v>17</v>
      </c>
      <c r="E57" s="2"/>
    </row>
    <row r="58" spans="1:5" ht="27" customHeight="1">
      <c r="A58" s="4">
        <v>42591.620833333334</v>
      </c>
      <c r="B58" s="5">
        <v>64777.22</v>
      </c>
      <c r="C58" s="6" t="s">
        <v>12</v>
      </c>
      <c r="D58" s="7" t="s">
        <v>17</v>
      </c>
      <c r="E58" s="2"/>
    </row>
    <row r="59" spans="1:5" ht="48" customHeight="1">
      <c r="A59" s="4">
        <v>42591.791666666664</v>
      </c>
      <c r="B59" s="8">
        <v>64351</v>
      </c>
      <c r="C59" s="6" t="s">
        <v>9</v>
      </c>
      <c r="D59" s="7" t="s">
        <v>10</v>
      </c>
      <c r="E59" s="2" t="s">
        <v>43</v>
      </c>
    </row>
    <row r="60" spans="1:5" ht="27" customHeight="1">
      <c r="A60" s="4">
        <v>42592.713888888888</v>
      </c>
      <c r="B60" s="5">
        <v>65276.23</v>
      </c>
      <c r="C60" s="6" t="s">
        <v>12</v>
      </c>
      <c r="D60" s="7" t="s">
        <v>17</v>
      </c>
      <c r="E60" s="2"/>
    </row>
    <row r="61" spans="1:5" ht="48" customHeight="1">
      <c r="A61" s="4">
        <v>42592.791666666664</v>
      </c>
      <c r="B61" s="8">
        <v>64786</v>
      </c>
      <c r="C61" s="6" t="s">
        <v>9</v>
      </c>
      <c r="D61" s="7" t="s">
        <v>10</v>
      </c>
      <c r="E61" s="2" t="s">
        <v>44</v>
      </c>
    </row>
    <row r="62" spans="1:5" ht="27" customHeight="1">
      <c r="A62" s="4">
        <v>42593.638194444444</v>
      </c>
      <c r="B62" s="5">
        <v>66875.25</v>
      </c>
      <c r="C62" s="6" t="s">
        <v>12</v>
      </c>
      <c r="D62" s="7" t="s">
        <v>17</v>
      </c>
      <c r="E62" s="2"/>
    </row>
    <row r="63" spans="1:5" ht="27" customHeight="1">
      <c r="A63" s="4">
        <v>42593.75</v>
      </c>
      <c r="B63" s="5">
        <v>66908.25</v>
      </c>
      <c r="C63" s="6" t="s">
        <v>12</v>
      </c>
      <c r="D63" s="7" t="s">
        <v>17</v>
      </c>
      <c r="E63" s="2"/>
    </row>
    <row r="64" spans="1:5" ht="48" customHeight="1">
      <c r="A64" s="4">
        <v>42593.791666666664</v>
      </c>
      <c r="B64" s="8">
        <v>65285</v>
      </c>
      <c r="C64" s="6" t="s">
        <v>9</v>
      </c>
      <c r="D64" s="7" t="s">
        <v>10</v>
      </c>
      <c r="E64" s="2" t="s">
        <v>45</v>
      </c>
    </row>
    <row r="65" spans="1:5" ht="48" customHeight="1">
      <c r="A65" s="4">
        <v>42594.791666666664</v>
      </c>
      <c r="B65" s="8">
        <v>66884</v>
      </c>
      <c r="C65" s="6" t="s">
        <v>9</v>
      </c>
      <c r="D65" s="7" t="s">
        <v>10</v>
      </c>
      <c r="E65" s="2" t="s">
        <v>46</v>
      </c>
    </row>
    <row r="66" spans="1:5" ht="27" customHeight="1">
      <c r="A66" s="4">
        <v>42595.669444444444</v>
      </c>
      <c r="B66" s="5">
        <v>71180.91</v>
      </c>
      <c r="C66" s="6" t="s">
        <v>12</v>
      </c>
      <c r="D66" s="7" t="s">
        <v>17</v>
      </c>
      <c r="E66" s="2"/>
    </row>
    <row r="67" spans="1:5" ht="48" customHeight="1">
      <c r="A67" s="4">
        <v>42595.791666666664</v>
      </c>
      <c r="B67" s="8">
        <v>68893</v>
      </c>
      <c r="C67" s="6" t="s">
        <v>9</v>
      </c>
      <c r="D67" s="7" t="s">
        <v>10</v>
      </c>
      <c r="E67" s="2" t="s">
        <v>47</v>
      </c>
    </row>
    <row r="68" spans="1:5" ht="48" customHeight="1">
      <c r="A68" s="4">
        <v>42596.791666666664</v>
      </c>
      <c r="B68" s="8">
        <v>71190</v>
      </c>
      <c r="C68" s="6" t="s">
        <v>9</v>
      </c>
      <c r="D68" s="7" t="s">
        <v>10</v>
      </c>
      <c r="E68" s="2" t="s">
        <v>48</v>
      </c>
    </row>
    <row r="69" spans="1:5" ht="27" customHeight="1">
      <c r="A69" s="4">
        <v>42596.831944444442</v>
      </c>
      <c r="B69" s="5">
        <v>73349.19</v>
      </c>
      <c r="C69" s="6" t="s">
        <v>12</v>
      </c>
      <c r="D69" s="7" t="s">
        <v>17</v>
      </c>
      <c r="E69" s="2"/>
    </row>
    <row r="70" spans="1:5" ht="27" customHeight="1">
      <c r="A70" s="4">
        <v>42597.605555555558</v>
      </c>
      <c r="B70" s="5">
        <v>76971.149999999994</v>
      </c>
      <c r="C70" s="6" t="s">
        <v>12</v>
      </c>
      <c r="D70" s="7" t="s">
        <v>17</v>
      </c>
      <c r="E70" s="2"/>
    </row>
    <row r="71" spans="1:5" ht="48" customHeight="1">
      <c r="A71" s="4">
        <v>42597.791666666664</v>
      </c>
      <c r="B71" s="8">
        <v>73358</v>
      </c>
      <c r="C71" s="6" t="s">
        <v>9</v>
      </c>
      <c r="D71" s="7" t="s">
        <v>10</v>
      </c>
      <c r="E71" s="2" t="s">
        <v>49</v>
      </c>
    </row>
    <row r="72" spans="1:5" ht="27" customHeight="1">
      <c r="A72" s="4">
        <v>42598.020833333336</v>
      </c>
      <c r="B72" s="5">
        <v>77012.179999999993</v>
      </c>
      <c r="C72" s="6" t="s">
        <v>12</v>
      </c>
      <c r="D72" s="7" t="s">
        <v>50</v>
      </c>
      <c r="E72" s="2"/>
    </row>
    <row r="73" spans="1:5" ht="48" customHeight="1">
      <c r="A73" s="4">
        <v>42598.791666666664</v>
      </c>
      <c r="B73" s="8">
        <v>76980</v>
      </c>
      <c r="C73" s="6" t="s">
        <v>9</v>
      </c>
      <c r="D73" s="7" t="s">
        <v>10</v>
      </c>
      <c r="E73" s="2" t="s">
        <v>51</v>
      </c>
    </row>
    <row r="74" spans="1:5" ht="27" customHeight="1">
      <c r="A74" s="4">
        <v>42598.844444444447</v>
      </c>
      <c r="B74" s="5">
        <v>80361.77</v>
      </c>
      <c r="C74" s="6" t="s">
        <v>12</v>
      </c>
      <c r="D74" s="7" t="s">
        <v>17</v>
      </c>
      <c r="E74" s="2"/>
    </row>
    <row r="75" spans="1:5" ht="27" customHeight="1">
      <c r="A75" s="4">
        <v>42599.598611111112</v>
      </c>
      <c r="B75" s="5">
        <v>81441.990000000005</v>
      </c>
      <c r="C75" s="6" t="s">
        <v>12</v>
      </c>
      <c r="D75" s="7" t="s">
        <v>17</v>
      </c>
      <c r="E75" s="2"/>
    </row>
    <row r="76" spans="1:5" ht="48" customHeight="1">
      <c r="A76" s="4">
        <v>42599.791666666664</v>
      </c>
      <c r="B76" s="8">
        <v>80370</v>
      </c>
      <c r="C76" s="6" t="s">
        <v>9</v>
      </c>
      <c r="D76" s="7" t="s">
        <v>10</v>
      </c>
      <c r="E76" s="2" t="s">
        <v>52</v>
      </c>
    </row>
    <row r="77" spans="1:5" ht="48" customHeight="1">
      <c r="A77" s="4">
        <v>42600.791666666664</v>
      </c>
      <c r="B77" s="8">
        <v>81450</v>
      </c>
      <c r="C77" s="6" t="s">
        <v>9</v>
      </c>
      <c r="D77" s="7" t="s">
        <v>10</v>
      </c>
      <c r="E77" s="2" t="s">
        <v>53</v>
      </c>
    </row>
    <row r="78" spans="1:5" ht="27" customHeight="1">
      <c r="A78" s="4">
        <v>42600.835416666669</v>
      </c>
      <c r="B78" s="5">
        <v>86021.51</v>
      </c>
      <c r="C78" s="6" t="s">
        <v>12</v>
      </c>
      <c r="D78" s="7" t="s">
        <v>17</v>
      </c>
      <c r="E78" s="2"/>
    </row>
    <row r="79" spans="1:5" ht="27" customHeight="1">
      <c r="A79" s="4">
        <v>42601.591666666667</v>
      </c>
      <c r="B79" s="5">
        <v>87809.63</v>
      </c>
      <c r="C79" s="6" t="s">
        <v>12</v>
      </c>
      <c r="D79" s="7" t="s">
        <v>17</v>
      </c>
      <c r="E79" s="2"/>
    </row>
    <row r="80" spans="1:5" ht="48" customHeight="1">
      <c r="A80" s="4">
        <v>42601.791666666664</v>
      </c>
      <c r="B80" s="8">
        <v>86030</v>
      </c>
      <c r="C80" s="6" t="s">
        <v>9</v>
      </c>
      <c r="D80" s="7" t="s">
        <v>10</v>
      </c>
      <c r="E80" s="2" t="s">
        <v>54</v>
      </c>
    </row>
    <row r="81" spans="1:5" ht="48" customHeight="1">
      <c r="A81" s="4">
        <v>42602.791666666664</v>
      </c>
      <c r="B81" s="8">
        <v>87818</v>
      </c>
      <c r="C81" s="6" t="s">
        <v>9</v>
      </c>
      <c r="D81" s="7" t="s">
        <v>10</v>
      </c>
      <c r="E81" s="2" t="s">
        <v>55</v>
      </c>
    </row>
    <row r="82" spans="1:5" ht="27" customHeight="1">
      <c r="A82" s="4">
        <v>42602.802777777775</v>
      </c>
      <c r="B82" s="5">
        <v>88747.199999999997</v>
      </c>
      <c r="C82" s="6" t="s">
        <v>12</v>
      </c>
      <c r="D82" s="7" t="s">
        <v>17</v>
      </c>
      <c r="E82" s="2"/>
    </row>
    <row r="83" spans="1:5" ht="27" customHeight="1">
      <c r="A83" s="4">
        <v>42603.593055555553</v>
      </c>
      <c r="B83" s="5">
        <v>96461.06</v>
      </c>
      <c r="C83" s="6" t="s">
        <v>12</v>
      </c>
      <c r="D83" s="7" t="s">
        <v>17</v>
      </c>
      <c r="E83" s="2"/>
    </row>
    <row r="84" spans="1:5" ht="48" customHeight="1">
      <c r="A84" s="4">
        <v>42603.791666666664</v>
      </c>
      <c r="B84" s="8">
        <v>88755</v>
      </c>
      <c r="C84" s="6" t="s">
        <v>9</v>
      </c>
      <c r="D84" s="7" t="s">
        <v>10</v>
      </c>
      <c r="E84" s="2" t="s">
        <v>56</v>
      </c>
    </row>
    <row r="85" spans="1:5" ht="27" customHeight="1">
      <c r="A85" s="4">
        <v>42604.520833333336</v>
      </c>
      <c r="B85" s="5">
        <v>96508.95</v>
      </c>
      <c r="C85" s="6" t="s">
        <v>12</v>
      </c>
      <c r="D85" s="7" t="s">
        <v>17</v>
      </c>
      <c r="E85" s="2"/>
    </row>
    <row r="86" spans="1:5" ht="48" customHeight="1">
      <c r="A86" s="4">
        <v>42604.791666666664</v>
      </c>
      <c r="B86" s="8">
        <v>96469</v>
      </c>
      <c r="C86" s="6" t="s">
        <v>9</v>
      </c>
      <c r="D86" s="7" t="s">
        <v>10</v>
      </c>
      <c r="E86" s="2" t="s">
        <v>57</v>
      </c>
    </row>
    <row r="87" spans="1:5" ht="27" customHeight="1">
      <c r="A87" s="4">
        <v>42604.84652777778</v>
      </c>
      <c r="B87" s="5">
        <v>100366.59</v>
      </c>
      <c r="C87" s="6" t="s">
        <v>12</v>
      </c>
      <c r="D87" s="7" t="s">
        <v>17</v>
      </c>
      <c r="E87" s="2"/>
    </row>
    <row r="88" spans="1:5" ht="27" customHeight="1">
      <c r="A88" s="4">
        <v>42605.291666666664</v>
      </c>
      <c r="B88" s="5">
        <v>100416.49</v>
      </c>
      <c r="C88" s="6" t="s">
        <v>12</v>
      </c>
      <c r="D88" s="7" t="s">
        <v>17</v>
      </c>
      <c r="E88" s="2"/>
    </row>
    <row r="89" spans="1:5" ht="27" customHeight="1">
      <c r="A89" s="4">
        <v>42605.75</v>
      </c>
      <c r="B89" s="5">
        <v>101972.58</v>
      </c>
      <c r="C89" s="6" t="s">
        <v>12</v>
      </c>
      <c r="D89" s="7" t="s">
        <v>58</v>
      </c>
      <c r="E89" s="2"/>
    </row>
    <row r="90" spans="1:5" ht="48" customHeight="1">
      <c r="A90" s="4">
        <v>42605.791666666664</v>
      </c>
      <c r="B90" s="8">
        <v>100367</v>
      </c>
      <c r="C90" s="6" t="s">
        <v>9</v>
      </c>
      <c r="D90" s="7" t="s">
        <v>10</v>
      </c>
      <c r="E90" s="2" t="s">
        <v>59</v>
      </c>
    </row>
    <row r="91" spans="1:5" ht="27" customHeight="1">
      <c r="A91" s="4">
        <v>42606.706944444442</v>
      </c>
      <c r="B91" s="5">
        <v>102745.3</v>
      </c>
      <c r="C91" s="6" t="s">
        <v>12</v>
      </c>
      <c r="D91" s="7" t="s">
        <v>17</v>
      </c>
      <c r="E91" s="2"/>
    </row>
    <row r="92" spans="1:5" ht="27" customHeight="1">
      <c r="A92" s="4">
        <v>42606.761805555558</v>
      </c>
      <c r="B92" s="5">
        <v>102796.09</v>
      </c>
      <c r="C92" s="6" t="s">
        <v>12</v>
      </c>
      <c r="D92" s="7" t="s">
        <v>58</v>
      </c>
      <c r="E92" s="2"/>
    </row>
    <row r="93" spans="1:5" ht="48" customHeight="1">
      <c r="A93" s="4">
        <v>42606.791666666664</v>
      </c>
      <c r="B93" s="8">
        <v>101922</v>
      </c>
      <c r="C93" s="6" t="s">
        <v>9</v>
      </c>
      <c r="D93" s="7" t="s">
        <v>10</v>
      </c>
      <c r="E93" s="2" t="s">
        <v>60</v>
      </c>
    </row>
    <row r="94" spans="1:5" ht="27" customHeight="1">
      <c r="A94" s="4">
        <v>42607.727083333331</v>
      </c>
      <c r="B94" s="5">
        <v>104261.23</v>
      </c>
      <c r="C94" s="6" t="s">
        <v>12</v>
      </c>
      <c r="D94" s="7" t="s">
        <v>17</v>
      </c>
      <c r="E94" s="2"/>
    </row>
    <row r="95" spans="1:5" ht="27" customHeight="1">
      <c r="A95" s="4">
        <v>42607.772222222222</v>
      </c>
      <c r="B95" s="5">
        <v>104312.68</v>
      </c>
      <c r="C95" s="6" t="s">
        <v>12</v>
      </c>
      <c r="D95" s="7" t="s">
        <v>17</v>
      </c>
      <c r="E95" s="2"/>
    </row>
    <row r="96" spans="1:5" ht="48" customHeight="1">
      <c r="A96" s="4">
        <v>42607.791666666664</v>
      </c>
      <c r="B96" s="8">
        <v>102746</v>
      </c>
      <c r="C96" s="6" t="s">
        <v>9</v>
      </c>
      <c r="D96" s="7" t="s">
        <v>10</v>
      </c>
      <c r="E96" s="2" t="s">
        <v>61</v>
      </c>
    </row>
    <row r="97" spans="1:5" ht="27" customHeight="1">
      <c r="A97" s="4">
        <v>42608.584722222222</v>
      </c>
      <c r="B97" s="5">
        <v>105695.26</v>
      </c>
      <c r="C97" s="6" t="s">
        <v>12</v>
      </c>
      <c r="D97" s="7" t="s">
        <v>17</v>
      </c>
      <c r="E97" s="2"/>
    </row>
    <row r="98" spans="1:5" ht="48" customHeight="1">
      <c r="A98" s="4">
        <v>42608.791666666664</v>
      </c>
      <c r="B98" s="8">
        <v>104263</v>
      </c>
      <c r="C98" s="6" t="s">
        <v>9</v>
      </c>
      <c r="D98" s="7" t="s">
        <v>10</v>
      </c>
      <c r="E98" s="2" t="s">
        <v>62</v>
      </c>
    </row>
    <row r="99" spans="1:5" ht="48" customHeight="1">
      <c r="A99" s="4">
        <v>42609.791666666664</v>
      </c>
      <c r="B99" s="8">
        <v>105475</v>
      </c>
      <c r="C99" s="6" t="s">
        <v>9</v>
      </c>
      <c r="D99" s="7" t="s">
        <v>10</v>
      </c>
      <c r="E99" s="2" t="s">
        <v>63</v>
      </c>
    </row>
    <row r="100" spans="1:5" ht="27" customHeight="1">
      <c r="A100" s="4">
        <v>42609.798611111109</v>
      </c>
      <c r="B100" s="5">
        <v>109593.96</v>
      </c>
      <c r="C100" s="6" t="s">
        <v>12</v>
      </c>
      <c r="D100" s="7" t="s">
        <v>17</v>
      </c>
      <c r="E100" s="2"/>
    </row>
    <row r="101" spans="1:5" ht="27" customHeight="1">
      <c r="A101" s="4">
        <v>42610.703472222223</v>
      </c>
      <c r="B101" s="5">
        <v>111603.61</v>
      </c>
      <c r="C101" s="6" t="s">
        <v>12</v>
      </c>
      <c r="D101" s="7" t="s">
        <v>17</v>
      </c>
      <c r="E101" s="2"/>
    </row>
    <row r="102" spans="1:5" ht="27" customHeight="1">
      <c r="A102" s="4">
        <v>42610.75</v>
      </c>
      <c r="B102" s="5">
        <v>111658.26</v>
      </c>
      <c r="C102" s="6" t="s">
        <v>12</v>
      </c>
      <c r="D102" s="7" t="s">
        <v>17</v>
      </c>
      <c r="E102" s="2"/>
    </row>
    <row r="103" spans="1:5" ht="48" customHeight="1">
      <c r="A103" s="4">
        <v>42610.791666666664</v>
      </c>
      <c r="B103" s="8">
        <v>109594</v>
      </c>
      <c r="C103" s="6" t="s">
        <v>9</v>
      </c>
      <c r="D103" s="7" t="s">
        <v>10</v>
      </c>
      <c r="E103" s="2" t="s">
        <v>64</v>
      </c>
    </row>
    <row r="104" spans="1:5" ht="62.05" customHeight="1">
      <c r="A104" s="4">
        <v>42611</v>
      </c>
      <c r="B104" s="5"/>
      <c r="C104" s="6" t="s">
        <v>65</v>
      </c>
      <c r="D104" s="7" t="s">
        <v>66</v>
      </c>
      <c r="E104" s="2" t="s">
        <v>67</v>
      </c>
    </row>
    <row r="105" spans="1:5" ht="76" customHeight="1">
      <c r="A105" s="9">
        <v>42611</v>
      </c>
      <c r="B105" s="5"/>
      <c r="C105" s="6" t="s">
        <v>68</v>
      </c>
      <c r="D105" s="7" t="s">
        <v>66</v>
      </c>
      <c r="E105" s="2" t="s">
        <v>69</v>
      </c>
    </row>
    <row r="106" spans="1:5" ht="27" customHeight="1">
      <c r="A106" s="4">
        <v>42611.761111111111</v>
      </c>
      <c r="B106" s="5">
        <v>140777.41</v>
      </c>
      <c r="C106" s="6" t="s">
        <v>12</v>
      </c>
      <c r="D106" s="7" t="s">
        <v>17</v>
      </c>
      <c r="E106" s="2"/>
    </row>
    <row r="107" spans="1:5" ht="48" customHeight="1">
      <c r="A107" s="4">
        <v>42611.791666666664</v>
      </c>
      <c r="B107" s="8">
        <v>111604</v>
      </c>
      <c r="C107" s="6" t="s">
        <v>9</v>
      </c>
      <c r="D107" s="7" t="s">
        <v>10</v>
      </c>
      <c r="E107" s="2" t="s">
        <v>70</v>
      </c>
    </row>
    <row r="108" spans="1:5" ht="62.05" customHeight="1">
      <c r="A108" s="4">
        <v>42612.011111111111</v>
      </c>
      <c r="B108" s="5"/>
      <c r="C108" s="6" t="s">
        <v>65</v>
      </c>
      <c r="D108" s="7" t="s">
        <v>66</v>
      </c>
      <c r="E108" s="2" t="s">
        <v>71</v>
      </c>
    </row>
    <row r="109" spans="1:5" ht="27" customHeight="1">
      <c r="A109" s="4">
        <v>42612.57708333333</v>
      </c>
      <c r="B109" s="5">
        <v>157392.69</v>
      </c>
      <c r="C109" s="6" t="s">
        <v>12</v>
      </c>
      <c r="D109" s="7" t="s">
        <v>17</v>
      </c>
      <c r="E109" s="2"/>
    </row>
    <row r="110" spans="1:5" ht="48" customHeight="1">
      <c r="A110" s="4">
        <v>42612.791666666664</v>
      </c>
      <c r="B110" s="8">
        <v>140780</v>
      </c>
      <c r="C110" s="6" t="s">
        <v>9</v>
      </c>
      <c r="D110" s="7" t="s">
        <v>10</v>
      </c>
      <c r="E110" s="2" t="s">
        <v>72</v>
      </c>
    </row>
    <row r="111" spans="1:5" ht="48" customHeight="1">
      <c r="A111" s="4">
        <v>42613.791666666664</v>
      </c>
      <c r="B111" s="8">
        <v>157393</v>
      </c>
      <c r="C111" s="6" t="s">
        <v>9</v>
      </c>
      <c r="D111" s="7" t="s">
        <v>10</v>
      </c>
      <c r="E111" s="2" t="s">
        <v>73</v>
      </c>
    </row>
    <row r="112" spans="1:5" ht="27" customHeight="1">
      <c r="A112" s="4">
        <v>42613.837500000001</v>
      </c>
      <c r="B112" s="5">
        <v>164894.04999999999</v>
      </c>
      <c r="C112" s="6" t="s">
        <v>12</v>
      </c>
      <c r="D112" s="7" t="s">
        <v>17</v>
      </c>
      <c r="E112" s="2"/>
    </row>
    <row r="113" spans="1:5" ht="27" customHeight="1">
      <c r="A113" s="4">
        <v>42614.574305555558</v>
      </c>
      <c r="B113" s="5">
        <v>179976.26</v>
      </c>
      <c r="C113" s="6" t="s">
        <v>12</v>
      </c>
      <c r="D113" s="7" t="s">
        <v>17</v>
      </c>
      <c r="E113" s="2"/>
    </row>
    <row r="114" spans="1:5" ht="48" customHeight="1">
      <c r="A114" s="4">
        <v>42614.791666666664</v>
      </c>
      <c r="B114" s="8">
        <v>164895</v>
      </c>
      <c r="C114" s="6" t="s">
        <v>9</v>
      </c>
      <c r="D114" s="7" t="s">
        <v>10</v>
      </c>
      <c r="E114" s="2" t="s">
        <v>74</v>
      </c>
    </row>
    <row r="115" spans="1:5" ht="27" customHeight="1">
      <c r="A115" s="4">
        <v>42615.202777777777</v>
      </c>
      <c r="B115" s="5">
        <v>180062.53</v>
      </c>
      <c r="C115" s="6" t="s">
        <v>12</v>
      </c>
      <c r="D115" s="7" t="s">
        <v>17</v>
      </c>
      <c r="E115" s="2"/>
    </row>
    <row r="116" spans="1:5" ht="48" customHeight="1">
      <c r="A116" s="4">
        <v>42615.791666666664</v>
      </c>
      <c r="B116" s="8">
        <v>179977</v>
      </c>
      <c r="C116" s="6" t="s">
        <v>9</v>
      </c>
      <c r="D116" s="7" t="s">
        <v>10</v>
      </c>
      <c r="E116" s="2" t="s">
        <v>75</v>
      </c>
    </row>
    <row r="117" spans="1:5" ht="27" customHeight="1">
      <c r="A117" s="4">
        <v>42615.868055555555</v>
      </c>
      <c r="B117" s="5">
        <v>180932.48000000001</v>
      </c>
      <c r="C117" s="6" t="s">
        <v>12</v>
      </c>
      <c r="D117" s="7" t="s">
        <v>21</v>
      </c>
      <c r="E117" s="2"/>
    </row>
    <row r="118" spans="1:5" ht="27" customHeight="1">
      <c r="A118" s="4">
        <v>42616.609722222223</v>
      </c>
      <c r="B118" s="5">
        <v>181064.88</v>
      </c>
      <c r="C118" s="6" t="s">
        <v>12</v>
      </c>
      <c r="D118" s="7" t="s">
        <v>17</v>
      </c>
      <c r="E118" s="2"/>
    </row>
    <row r="119" spans="1:5" ht="48" customHeight="1">
      <c r="A119" s="4">
        <v>42616.791666666664</v>
      </c>
      <c r="B119" s="8">
        <v>180300</v>
      </c>
      <c r="C119" s="6" t="s">
        <v>9</v>
      </c>
      <c r="D119" s="7" t="s">
        <v>10</v>
      </c>
      <c r="E119" s="2" t="s">
        <v>76</v>
      </c>
    </row>
    <row r="120" spans="1:5" ht="48" customHeight="1">
      <c r="A120" s="4">
        <v>42617.791666666664</v>
      </c>
      <c r="B120" s="8">
        <v>181065</v>
      </c>
      <c r="C120" s="6" t="s">
        <v>9</v>
      </c>
      <c r="D120" s="7" t="s">
        <v>10</v>
      </c>
      <c r="E120" s="2" t="s">
        <v>77</v>
      </c>
    </row>
    <row r="121" spans="1:5" ht="27" customHeight="1">
      <c r="A121" s="4">
        <v>42617.815972222219</v>
      </c>
      <c r="B121" s="5">
        <v>181145.13</v>
      </c>
      <c r="C121" s="6" t="s">
        <v>12</v>
      </c>
      <c r="D121" s="7" t="s">
        <v>17</v>
      </c>
      <c r="E121" s="2"/>
    </row>
    <row r="122" spans="1:5" ht="27" customHeight="1">
      <c r="A122" s="4">
        <v>42618.595833333333</v>
      </c>
      <c r="B122" s="5">
        <v>181349.41</v>
      </c>
      <c r="C122" s="6" t="s">
        <v>12</v>
      </c>
      <c r="D122" s="7" t="s">
        <v>17</v>
      </c>
      <c r="E122" s="2"/>
    </row>
    <row r="123" spans="1:5" ht="48" customHeight="1">
      <c r="A123" s="4">
        <v>42618.791666666664</v>
      </c>
      <c r="B123" s="8">
        <v>181145</v>
      </c>
      <c r="C123" s="6" t="s">
        <v>9</v>
      </c>
      <c r="D123" s="7" t="s">
        <v>10</v>
      </c>
      <c r="E123" s="2" t="s">
        <v>78</v>
      </c>
    </row>
    <row r="124" spans="1:5" ht="27" customHeight="1">
      <c r="A124" s="4">
        <v>42618.804861111108</v>
      </c>
      <c r="B124" s="5">
        <v>181296.64000000001</v>
      </c>
      <c r="C124" s="6" t="s">
        <v>12</v>
      </c>
      <c r="D124" s="7" t="s">
        <v>17</v>
      </c>
      <c r="E124" s="2"/>
    </row>
    <row r="125" spans="1:5" ht="76" customHeight="1">
      <c r="A125" s="9">
        <v>42619</v>
      </c>
      <c r="B125" s="5"/>
      <c r="C125" s="6" t="s">
        <v>79</v>
      </c>
      <c r="D125" s="7" t="s">
        <v>80</v>
      </c>
      <c r="E125" s="2" t="s">
        <v>81</v>
      </c>
    </row>
    <row r="126" spans="1:5" ht="48" customHeight="1">
      <c r="A126" s="4">
        <v>42619.791666666664</v>
      </c>
      <c r="B126" s="8">
        <v>181174</v>
      </c>
      <c r="C126" s="6" t="s">
        <v>9</v>
      </c>
      <c r="D126" s="7" t="s">
        <v>10</v>
      </c>
      <c r="E126" s="2" t="s">
        <v>82</v>
      </c>
    </row>
    <row r="127" spans="1:5" ht="27" customHeight="1">
      <c r="A127" s="4">
        <v>42620.59652777778</v>
      </c>
      <c r="B127" s="5">
        <v>181383.23</v>
      </c>
      <c r="C127" s="6" t="s">
        <v>12</v>
      </c>
      <c r="D127" s="7" t="s">
        <v>17</v>
      </c>
      <c r="E127" s="2"/>
    </row>
    <row r="128" spans="1:5" ht="27" customHeight="1">
      <c r="A128" s="4">
        <v>42620.722222222219</v>
      </c>
      <c r="B128" s="5">
        <v>181573.75</v>
      </c>
      <c r="C128" s="6" t="s">
        <v>12</v>
      </c>
      <c r="D128" s="7" t="s">
        <v>17</v>
      </c>
      <c r="E128" s="2"/>
    </row>
    <row r="129" spans="1:5" ht="48" customHeight="1">
      <c r="A129" s="4">
        <v>42620.791666666664</v>
      </c>
      <c r="B129" s="8">
        <v>181297</v>
      </c>
      <c r="C129" s="6" t="s">
        <v>9</v>
      </c>
      <c r="D129" s="7" t="s">
        <v>10</v>
      </c>
      <c r="E129" s="2" t="s">
        <v>83</v>
      </c>
    </row>
    <row r="130" spans="1:5" ht="27" customHeight="1">
      <c r="A130" s="4">
        <v>42621.71597222222</v>
      </c>
      <c r="B130" s="5">
        <v>182445.41</v>
      </c>
      <c r="C130" s="6" t="s">
        <v>12</v>
      </c>
      <c r="D130" s="7" t="s">
        <v>17</v>
      </c>
      <c r="E130" s="2"/>
    </row>
    <row r="131" spans="1:5" ht="27" customHeight="1">
      <c r="A131" s="4">
        <v>42621.722222222219</v>
      </c>
      <c r="B131" s="5">
        <v>181660.53</v>
      </c>
      <c r="C131" s="6" t="s">
        <v>12</v>
      </c>
      <c r="D131" s="7" t="s">
        <v>17</v>
      </c>
      <c r="E131" s="2"/>
    </row>
    <row r="132" spans="1:5" ht="48" customHeight="1">
      <c r="A132" s="4">
        <v>42621.791666666664</v>
      </c>
      <c r="B132" s="8">
        <v>181574</v>
      </c>
      <c r="C132" s="6" t="s">
        <v>9</v>
      </c>
      <c r="D132" s="7" t="s">
        <v>10</v>
      </c>
      <c r="E132" s="2" t="s">
        <v>84</v>
      </c>
    </row>
    <row r="133" spans="1:5" ht="27" customHeight="1">
      <c r="A133" s="4">
        <v>42622.71597222222</v>
      </c>
      <c r="B133" s="5">
        <v>182532.43</v>
      </c>
      <c r="C133" s="6" t="s">
        <v>12</v>
      </c>
      <c r="D133" s="7" t="s">
        <v>17</v>
      </c>
      <c r="E133" s="2"/>
    </row>
    <row r="134" spans="1:5" ht="27" customHeight="1">
      <c r="A134" s="4">
        <v>42622.791666666664</v>
      </c>
      <c r="B134" s="5">
        <v>183504.89</v>
      </c>
      <c r="C134" s="6" t="s">
        <v>12</v>
      </c>
      <c r="D134" s="7" t="s">
        <v>17</v>
      </c>
      <c r="E134" s="2"/>
    </row>
    <row r="135" spans="1:5" ht="48" customHeight="1">
      <c r="A135" s="4">
        <v>42622.791666666664</v>
      </c>
      <c r="B135" s="8">
        <v>182445</v>
      </c>
      <c r="C135" s="6" t="s">
        <v>9</v>
      </c>
      <c r="D135" s="7" t="s">
        <v>10</v>
      </c>
      <c r="E135" s="2" t="s">
        <v>85</v>
      </c>
    </row>
    <row r="136" spans="1:5" ht="62.05" customHeight="1">
      <c r="A136" s="9">
        <v>42623</v>
      </c>
      <c r="B136" s="5"/>
      <c r="C136" s="6" t="s">
        <v>86</v>
      </c>
      <c r="D136" s="7" t="s">
        <v>87</v>
      </c>
      <c r="E136" s="2" t="s">
        <v>88</v>
      </c>
    </row>
    <row r="137" spans="1:5" ht="27" customHeight="1">
      <c r="A137" s="4">
        <v>42623.762499999997</v>
      </c>
      <c r="B137" s="5">
        <v>184366.68</v>
      </c>
      <c r="C137" s="6" t="s">
        <v>12</v>
      </c>
      <c r="D137" s="7" t="s">
        <v>17</v>
      </c>
      <c r="E137" s="2"/>
    </row>
    <row r="138" spans="1:5" ht="48" customHeight="1">
      <c r="A138" s="4">
        <v>42623.791666666664</v>
      </c>
      <c r="B138" s="8">
        <v>183508</v>
      </c>
      <c r="C138" s="6" t="s">
        <v>9</v>
      </c>
      <c r="D138" s="7" t="s">
        <v>10</v>
      </c>
      <c r="E138" s="2" t="s">
        <v>89</v>
      </c>
    </row>
    <row r="139" spans="1:5" ht="48" customHeight="1">
      <c r="A139" s="4">
        <v>42624.791666666664</v>
      </c>
      <c r="B139" s="8">
        <v>184376</v>
      </c>
      <c r="C139" s="6" t="s">
        <v>9</v>
      </c>
      <c r="D139" s="7" t="s">
        <v>10</v>
      </c>
      <c r="E139" s="2" t="s">
        <v>90</v>
      </c>
    </row>
    <row r="140" spans="1:5" ht="62.05" customHeight="1">
      <c r="A140" s="9">
        <v>42625</v>
      </c>
      <c r="B140" s="8">
        <v>185895</v>
      </c>
      <c r="C140" s="6" t="s">
        <v>91</v>
      </c>
      <c r="D140" s="7" t="s">
        <v>92</v>
      </c>
      <c r="E140" s="2" t="s">
        <v>93</v>
      </c>
    </row>
    <row r="141" spans="1:5" ht="27" customHeight="1">
      <c r="A141" s="4">
        <v>42625.617361111108</v>
      </c>
      <c r="B141" s="5">
        <v>184455.98</v>
      </c>
      <c r="C141" s="6" t="s">
        <v>12</v>
      </c>
      <c r="D141" s="7" t="s">
        <v>58</v>
      </c>
      <c r="E141" s="2"/>
    </row>
    <row r="142" spans="1:5" ht="48" customHeight="1">
      <c r="A142" s="4">
        <v>42625.791666666664</v>
      </c>
      <c r="B142" s="8">
        <v>185895</v>
      </c>
      <c r="C142" s="6" t="s">
        <v>9</v>
      </c>
      <c r="D142" s="7" t="s">
        <v>10</v>
      </c>
      <c r="E142" s="2" t="s">
        <v>94</v>
      </c>
    </row>
    <row r="143" spans="1:5" ht="27" customHeight="1">
      <c r="A143" s="4">
        <v>42626.686111111114</v>
      </c>
      <c r="B143" s="5">
        <v>186346.9</v>
      </c>
      <c r="C143" s="6" t="s">
        <v>12</v>
      </c>
      <c r="D143" s="7" t="s">
        <v>17</v>
      </c>
      <c r="E143" s="2"/>
    </row>
    <row r="144" spans="1:5" ht="27" customHeight="1">
      <c r="A144" s="4">
        <v>42626.6875</v>
      </c>
      <c r="B144" s="5">
        <v>186265.56</v>
      </c>
      <c r="C144" s="6" t="s">
        <v>12</v>
      </c>
      <c r="D144" s="7" t="s">
        <v>17</v>
      </c>
      <c r="E144" s="2"/>
    </row>
    <row r="145" spans="1:5" ht="48" customHeight="1">
      <c r="A145" s="4">
        <v>42626.791666666664</v>
      </c>
      <c r="B145" s="8">
        <v>186192</v>
      </c>
      <c r="C145" s="6" t="s">
        <v>9</v>
      </c>
      <c r="D145" s="7" t="s">
        <v>10</v>
      </c>
      <c r="E145" s="2" t="s">
        <v>95</v>
      </c>
    </row>
    <row r="146" spans="1:5" ht="27" customHeight="1">
      <c r="A146" s="4">
        <v>42627.034722222219</v>
      </c>
      <c r="B146" s="5">
        <v>186454.66</v>
      </c>
      <c r="C146" s="6" t="s">
        <v>12</v>
      </c>
      <c r="D146" s="7" t="s">
        <v>21</v>
      </c>
      <c r="E146" s="2"/>
    </row>
    <row r="147" spans="1:5" ht="27" customHeight="1">
      <c r="A147" s="4">
        <v>42627.75</v>
      </c>
      <c r="B147" s="5">
        <v>186454.66</v>
      </c>
      <c r="C147" s="6" t="s">
        <v>12</v>
      </c>
      <c r="D147" s="7" t="s">
        <v>21</v>
      </c>
      <c r="E147" s="2"/>
    </row>
    <row r="148" spans="1:5" ht="48" customHeight="1">
      <c r="A148" s="4">
        <v>42627.791666666664</v>
      </c>
      <c r="B148" s="8">
        <v>186361</v>
      </c>
      <c r="C148" s="6" t="s">
        <v>9</v>
      </c>
      <c r="D148" s="7" t="s">
        <v>10</v>
      </c>
      <c r="E148" s="2" t="s">
        <v>96</v>
      </c>
    </row>
    <row r="149" spans="1:5" ht="27" customHeight="1">
      <c r="A149" s="4">
        <v>42627.813194444447</v>
      </c>
      <c r="B149" s="5">
        <v>186400.85</v>
      </c>
      <c r="C149" s="6" t="s">
        <v>12</v>
      </c>
      <c r="D149" s="7" t="s">
        <v>17</v>
      </c>
      <c r="E149" s="2"/>
    </row>
    <row r="150" spans="1:5" ht="27" customHeight="1">
      <c r="A150" s="4">
        <v>42628.605555555558</v>
      </c>
      <c r="B150" s="5">
        <v>188379.77</v>
      </c>
      <c r="C150" s="6" t="s">
        <v>12</v>
      </c>
      <c r="D150" s="7" t="s">
        <v>17</v>
      </c>
      <c r="E150" s="2"/>
    </row>
    <row r="151" spans="1:5" ht="48" customHeight="1">
      <c r="A151" s="4">
        <v>42628.791666666664</v>
      </c>
      <c r="B151" s="8">
        <v>188312</v>
      </c>
      <c r="C151" s="6" t="s">
        <v>9</v>
      </c>
      <c r="D151" s="7" t="s">
        <v>10</v>
      </c>
      <c r="E151" s="2" t="s">
        <v>97</v>
      </c>
    </row>
    <row r="152" spans="1:5" ht="27" customHeight="1">
      <c r="A152" s="4">
        <v>42629.020833333336</v>
      </c>
      <c r="B152" s="5">
        <v>188464.56</v>
      </c>
      <c r="C152" s="6" t="s">
        <v>12</v>
      </c>
      <c r="D152" s="7" t="s">
        <v>21</v>
      </c>
      <c r="E152" s="2"/>
    </row>
    <row r="153" spans="1:5" ht="27" customHeight="1">
      <c r="A153" s="4">
        <v>42629.713194444441</v>
      </c>
      <c r="B153" s="5">
        <v>188396.58</v>
      </c>
      <c r="C153" s="6" t="s">
        <v>12</v>
      </c>
      <c r="D153" s="7" t="s">
        <v>17</v>
      </c>
      <c r="E153" s="2"/>
    </row>
    <row r="154" spans="1:5" ht="48" customHeight="1">
      <c r="A154" s="4">
        <v>42629.791666666664</v>
      </c>
      <c r="B154" s="8">
        <v>188380</v>
      </c>
      <c r="C154" s="6" t="s">
        <v>9</v>
      </c>
      <c r="D154" s="7" t="s">
        <v>10</v>
      </c>
      <c r="E154" s="2" t="s">
        <v>98</v>
      </c>
    </row>
    <row r="155" spans="1:5" ht="27" customHeight="1">
      <c r="A155" s="4">
        <v>42630.020833333336</v>
      </c>
      <c r="B155" s="5">
        <v>188487.52</v>
      </c>
      <c r="C155" s="6" t="s">
        <v>12</v>
      </c>
      <c r="D155" s="7" t="s">
        <v>21</v>
      </c>
      <c r="E155" s="2"/>
    </row>
    <row r="156" spans="1:5" ht="48" customHeight="1">
      <c r="A156" s="4">
        <v>42630.833333333336</v>
      </c>
      <c r="B156" s="8">
        <v>188397</v>
      </c>
      <c r="C156" s="6" t="s">
        <v>9</v>
      </c>
      <c r="D156" s="7" t="s">
        <v>10</v>
      </c>
      <c r="E156" s="2" t="s">
        <v>99</v>
      </c>
    </row>
    <row r="157" spans="1:5" ht="27" customHeight="1">
      <c r="A157" s="4">
        <v>42631.634027777778</v>
      </c>
      <c r="B157" s="5">
        <v>188404.08</v>
      </c>
      <c r="C157" s="6" t="s">
        <v>12</v>
      </c>
      <c r="D157" s="7" t="s">
        <v>17</v>
      </c>
      <c r="E157" s="2"/>
    </row>
    <row r="158" spans="1:5" ht="27" customHeight="1">
      <c r="A158" s="4">
        <v>42631.75</v>
      </c>
      <c r="B158" s="5">
        <v>188487.52</v>
      </c>
      <c r="C158" s="6" t="s">
        <v>12</v>
      </c>
      <c r="D158" s="7" t="s">
        <v>21</v>
      </c>
      <c r="E158" s="2"/>
    </row>
    <row r="159" spans="1:5" ht="48" customHeight="1">
      <c r="A159" s="4">
        <v>42631.833333333336</v>
      </c>
      <c r="B159" s="8">
        <v>188397</v>
      </c>
      <c r="C159" s="6" t="s">
        <v>9</v>
      </c>
      <c r="D159" s="7" t="s">
        <v>10</v>
      </c>
      <c r="E159" s="2" t="s">
        <v>100</v>
      </c>
    </row>
    <row r="160" spans="1:5" ht="48" customHeight="1">
      <c r="A160" s="4">
        <v>42632.833333333336</v>
      </c>
      <c r="B160" s="8">
        <v>188404</v>
      </c>
      <c r="C160" s="6" t="s">
        <v>9</v>
      </c>
      <c r="D160" s="7" t="s">
        <v>10</v>
      </c>
      <c r="E160" s="2" t="s">
        <v>101</v>
      </c>
    </row>
    <row r="161" spans="1:5" ht="48" customHeight="1">
      <c r="A161" s="4">
        <v>42633.833333333336</v>
      </c>
      <c r="B161" s="8">
        <v>188404</v>
      </c>
      <c r="C161" s="6" t="s">
        <v>9</v>
      </c>
      <c r="D161" s="7" t="s">
        <v>10</v>
      </c>
      <c r="E161" s="2" t="s">
        <v>101</v>
      </c>
    </row>
    <row r="162" spans="1:5" ht="48" customHeight="1">
      <c r="A162" s="4">
        <v>42634.833333333336</v>
      </c>
      <c r="B162" s="8">
        <v>188404</v>
      </c>
      <c r="C162" s="6" t="s">
        <v>9</v>
      </c>
      <c r="D162" s="7" t="s">
        <v>10</v>
      </c>
      <c r="E162" s="2" t="s">
        <v>101</v>
      </c>
    </row>
    <row r="163" spans="1:5" ht="48" customHeight="1">
      <c r="A163" s="4">
        <v>42635.833333333336</v>
      </c>
      <c r="B163" s="8">
        <v>188404</v>
      </c>
      <c r="C163" s="6" t="s">
        <v>9</v>
      </c>
      <c r="D163" s="7" t="s">
        <v>10</v>
      </c>
      <c r="E163" s="2" t="s">
        <v>101</v>
      </c>
    </row>
    <row r="164" spans="1:5" ht="48" customHeight="1">
      <c r="A164" s="4">
        <v>42635.84375</v>
      </c>
      <c r="B164" s="8">
        <v>188404</v>
      </c>
      <c r="C164" s="6" t="s">
        <v>9</v>
      </c>
      <c r="D164" s="7" t="s">
        <v>10</v>
      </c>
      <c r="E164" s="2" t="s">
        <v>101</v>
      </c>
    </row>
    <row r="165" spans="1:5" ht="48" customHeight="1">
      <c r="A165" s="4">
        <v>42636.833333333336</v>
      </c>
      <c r="B165" s="8">
        <v>188404</v>
      </c>
      <c r="C165" s="6" t="s">
        <v>9</v>
      </c>
      <c r="D165" s="7" t="s">
        <v>10</v>
      </c>
      <c r="E165" s="2" t="s">
        <v>102</v>
      </c>
    </row>
    <row r="166" spans="1:5" ht="27" customHeight="1">
      <c r="A166" s="4">
        <v>42637.59375</v>
      </c>
      <c r="B166" s="5">
        <v>188404.08</v>
      </c>
      <c r="C166" s="6" t="s">
        <v>12</v>
      </c>
      <c r="D166" s="7" t="s">
        <v>17</v>
      </c>
      <c r="E166" s="2"/>
    </row>
    <row r="167" spans="1:5" ht="48" customHeight="1">
      <c r="A167" s="4">
        <v>42637.833333333336</v>
      </c>
      <c r="B167" s="8">
        <v>188404</v>
      </c>
      <c r="C167" s="6" t="s">
        <v>9</v>
      </c>
      <c r="D167" s="7" t="s">
        <v>10</v>
      </c>
      <c r="E167" s="2" t="s">
        <v>102</v>
      </c>
    </row>
    <row r="168" spans="1:5" ht="48" customHeight="1">
      <c r="A168" s="4">
        <v>42637.833333333336</v>
      </c>
      <c r="B168" s="8">
        <v>188404</v>
      </c>
      <c r="C168" s="6" t="s">
        <v>9</v>
      </c>
      <c r="D168" s="7" t="s">
        <v>10</v>
      </c>
      <c r="E168" s="2" t="s">
        <v>102</v>
      </c>
    </row>
    <row r="169" spans="1:5" ht="48" customHeight="1">
      <c r="A169" s="4">
        <v>42638.833333333336</v>
      </c>
      <c r="B169" s="8">
        <v>188404</v>
      </c>
      <c r="C169" s="6" t="s">
        <v>9</v>
      </c>
      <c r="D169" s="7" t="s">
        <v>10</v>
      </c>
      <c r="E169" s="2" t="s">
        <v>102</v>
      </c>
    </row>
    <row r="170" spans="1:5" ht="27" customHeight="1">
      <c r="A170" s="4">
        <v>42639.825694444444</v>
      </c>
      <c r="B170" s="5">
        <v>188404.08</v>
      </c>
      <c r="C170" s="6" t="s">
        <v>12</v>
      </c>
      <c r="D170" s="7" t="s">
        <v>17</v>
      </c>
      <c r="E170" s="2"/>
    </row>
    <row r="171" spans="1:5" ht="48" customHeight="1">
      <c r="A171" s="4">
        <v>42639.833333333336</v>
      </c>
      <c r="B171" s="8">
        <v>188404</v>
      </c>
      <c r="C171" s="6" t="s">
        <v>9</v>
      </c>
      <c r="D171" s="7" t="s">
        <v>10</v>
      </c>
      <c r="E171" s="2" t="s">
        <v>102</v>
      </c>
    </row>
    <row r="172" spans="1:5" ht="48" customHeight="1">
      <c r="A172" s="4">
        <v>42640.833333333336</v>
      </c>
      <c r="B172" s="8">
        <v>188404</v>
      </c>
      <c r="C172" s="6" t="s">
        <v>9</v>
      </c>
      <c r="D172" s="7" t="s">
        <v>10</v>
      </c>
      <c r="E172" s="2" t="s">
        <v>102</v>
      </c>
    </row>
    <row r="173" spans="1:5" ht="27" customHeight="1">
      <c r="A173" s="4">
        <v>42641.613194444442</v>
      </c>
      <c r="B173" s="5">
        <v>188404.08</v>
      </c>
      <c r="C173" s="6" t="s">
        <v>12</v>
      </c>
      <c r="D173" s="7" t="s">
        <v>17</v>
      </c>
      <c r="E173" s="2"/>
    </row>
    <row r="174" spans="1:5" ht="27" customHeight="1">
      <c r="A174" s="4">
        <v>42641.75</v>
      </c>
      <c r="B174" s="5">
        <v>188495.02</v>
      </c>
      <c r="C174" s="6" t="s">
        <v>12</v>
      </c>
      <c r="D174" s="7" t="s">
        <v>21</v>
      </c>
      <c r="E174" s="2"/>
    </row>
    <row r="175" spans="1:5" ht="48" customHeight="1">
      <c r="A175" s="4">
        <v>42641.833333333336</v>
      </c>
      <c r="B175" s="8">
        <v>188404</v>
      </c>
      <c r="C175" s="6" t="s">
        <v>9</v>
      </c>
      <c r="D175" s="7" t="s">
        <v>10</v>
      </c>
      <c r="E175" s="2" t="s">
        <v>103</v>
      </c>
    </row>
    <row r="176" spans="1:5" ht="76" customHeight="1">
      <c r="A176" s="9">
        <v>42642</v>
      </c>
      <c r="B176" s="8">
        <v>188404</v>
      </c>
      <c r="C176" s="6" t="s">
        <v>104</v>
      </c>
      <c r="D176" s="7" t="s">
        <v>33</v>
      </c>
      <c r="E176" s="2" t="s">
        <v>105</v>
      </c>
    </row>
    <row r="177" spans="1:5" ht="48" customHeight="1">
      <c r="A177" s="4">
        <v>42642.833333333336</v>
      </c>
      <c r="B177" s="8">
        <v>188404</v>
      </c>
      <c r="C177" s="6" t="s">
        <v>9</v>
      </c>
      <c r="D177" s="7" t="s">
        <v>10</v>
      </c>
      <c r="E177" s="2" t="s">
        <v>103</v>
      </c>
    </row>
    <row r="178" spans="1:5" ht="48" customHeight="1">
      <c r="A178" s="4">
        <v>42649.708333333336</v>
      </c>
      <c r="B178" s="8">
        <v>188404</v>
      </c>
      <c r="C178" s="6" t="s">
        <v>9</v>
      </c>
      <c r="D178" s="7" t="s">
        <v>10</v>
      </c>
      <c r="E178" s="2" t="s">
        <v>103</v>
      </c>
    </row>
    <row r="179" spans="1:5" ht="48" customHeight="1">
      <c r="A179" s="4">
        <v>42656.75</v>
      </c>
      <c r="B179" s="8">
        <v>188404</v>
      </c>
      <c r="C179" s="6" t="s">
        <v>9</v>
      </c>
      <c r="D179" s="7" t="s">
        <v>10</v>
      </c>
      <c r="E179" s="2" t="s">
        <v>106</v>
      </c>
    </row>
    <row r="180" spans="1:5" ht="48" customHeight="1">
      <c r="A180" s="4">
        <v>42663.729166666664</v>
      </c>
      <c r="B180" s="8">
        <v>188404</v>
      </c>
      <c r="C180" s="6" t="s">
        <v>9</v>
      </c>
      <c r="D180" s="7" t="s">
        <v>10</v>
      </c>
      <c r="E180" s="2" t="s">
        <v>106</v>
      </c>
    </row>
    <row r="181" spans="1:5" ht="48" customHeight="1">
      <c r="A181" s="4">
        <v>42670.6875</v>
      </c>
      <c r="B181" s="8">
        <v>188404</v>
      </c>
      <c r="C181" s="6" t="s">
        <v>9</v>
      </c>
      <c r="D181" s="7" t="s">
        <v>10</v>
      </c>
      <c r="E181" s="2" t="s">
        <v>106</v>
      </c>
    </row>
    <row r="182" spans="1:5" ht="62.05" customHeight="1">
      <c r="A182" s="9">
        <v>42677</v>
      </c>
      <c r="B182" s="5"/>
      <c r="C182" s="6" t="s">
        <v>107</v>
      </c>
      <c r="D182" s="7" t="s">
        <v>108</v>
      </c>
      <c r="E182" s="2" t="s">
        <v>109</v>
      </c>
    </row>
    <row r="183" spans="1:5" ht="48" customHeight="1">
      <c r="A183" s="4">
        <v>42677.645833333336</v>
      </c>
      <c r="B183" s="8">
        <v>188404</v>
      </c>
      <c r="C183" s="6" t="s">
        <v>9</v>
      </c>
      <c r="D183" s="7" t="s">
        <v>10</v>
      </c>
      <c r="E183" s="2" t="s">
        <v>110</v>
      </c>
    </row>
  </sheetData>
  <hyperlinks>
    <hyperlink ref="C2" r:id="rId1" tooltip="https://wildfiretoday.com/usfs-regional-fire-director-describes-the-management-of-the-pioneer-fire/" xr:uid="{00000000-0004-0000-0000-000000000000}"/>
    <hyperlink ref="C3" r:id="rId2" tooltip="https://wildfiretoday.com/usfs-regional-fire-director-describes-the-management-of-the-pioneer-fire/" xr:uid="{00000000-0004-0000-0000-000001000000}"/>
    <hyperlink ref="C4" r:id="rId3" tooltip="https://doi.org/10.6084/m9.figshare.19858927.v3" xr:uid="{00000000-0004-0000-0000-000002000000}"/>
    <hyperlink ref="C5" r:id="rId4" tooltip="https://services3.arcgis.com/T4QMspbfLg3qTGWY/arcgis/rest/services/Historic_Geomac_Perimeters_2016/FeatureServer/0/query?objectIds=1129&amp;outFields=%2A&amp;returnGeometry=false&amp;f=pjson" xr:uid="{00000000-0004-0000-0000-000003000000}"/>
    <hyperlink ref="C6" r:id="rId5" tooltip="https://doi.org/10.6084/m9.figshare.19858927.v3" xr:uid="{00000000-0004-0000-0000-000004000000}"/>
    <hyperlink ref="C7" r:id="rId6" tooltip="https://services3.arcgis.com/T4QMspbfLg3qTGWY/arcgis/rest/services/Historic_Geomac_Perimeters_2016/FeatureServer/0/query?objectIds=3426&amp;outFields=%2A&amp;returnGeometry=false&amp;f=pjson" xr:uid="{00000000-0004-0000-0000-000005000000}"/>
    <hyperlink ref="C8" r:id="rId7" tooltip="https://doi.org/10.6084/m9.figshare.19858927.v3" xr:uid="{00000000-0004-0000-0000-000006000000}"/>
    <hyperlink ref="C9" r:id="rId8" tooltip="https://services3.arcgis.com/T4QMspbfLg3qTGWY/arcgis/rest/services/Historic_Geomac_Perimeters_2016/FeatureServer/0/query?objectIds=1189&amp;outFields=%2A&amp;returnGeometry=false&amp;f=pjson" xr:uid="{00000000-0004-0000-0000-000007000000}"/>
    <hyperlink ref="C10" r:id="rId9" tooltip="https://doi.org/10.6084/m9.figshare.19858927.v3" xr:uid="{00000000-0004-0000-0000-000008000000}"/>
    <hyperlink ref="C11" r:id="rId10" tooltip="https://services3.arcgis.com/T4QMspbfLg3qTGWY/arcgis/rest/services/Historic_Geomac_Perimeters_2016/FeatureServer/0/query?objectIds=4347&amp;outFields=%2A&amp;returnGeometry=false&amp;f=pjson" xr:uid="{00000000-0004-0000-0000-000009000000}"/>
    <hyperlink ref="C12" r:id="rId11" tooltip="https://doi.org/10.6084/m9.figshare.19858927.v3" xr:uid="{00000000-0004-0000-0000-00000A000000}"/>
    <hyperlink ref="C13" r:id="rId12" tooltip="https://services3.arcgis.com/T4QMspbfLg3qTGWY/arcgis/rest/services/Historic_Geomac_Perimeters_2016/FeatureServer/0/query?objectIds=1182&amp;outFields=%2A&amp;returnGeometry=false&amp;f=pjson" xr:uid="{00000000-0004-0000-0000-00000B000000}"/>
    <hyperlink ref="C14" r:id="rId13" tooltip="https://doi.org/10.6084/m9.figshare.19858927.v3" xr:uid="{00000000-0004-0000-0000-00000C000000}"/>
    <hyperlink ref="C15" r:id="rId14" tooltip="https://doi.org/10.6084/m9.figshare.19858927.v3" xr:uid="{00000000-0004-0000-0000-00000D000000}"/>
    <hyperlink ref="C16" r:id="rId15" tooltip="https://services3.arcgis.com/T4QMspbfLg3qTGWY/arcgis/rest/services/Historic_Geomac_Perimeters_2016/FeatureServer/0/query?objectIds=1255&amp;outFields=%2A&amp;returnGeometry=false&amp;f=pjson" xr:uid="{00000000-0004-0000-0000-00000E000000}"/>
    <hyperlink ref="C17" r:id="rId16" tooltip="https://services3.arcgis.com/T4QMspbfLg3qTGWY/arcgis/rest/services/Historic_Geomac_Perimeters_2016/FeatureServer/0/query?objectIds=1284&amp;outFields=%2A&amp;returnGeometry=false&amp;f=pjson" xr:uid="{00000000-0004-0000-0000-00000F000000}"/>
    <hyperlink ref="C18" r:id="rId17" tooltip="https://services3.arcgis.com/T4QMspbfLg3qTGWY/arcgis/rest/services/Historic_Geomac_Perimeters_2016/FeatureServer/0/query?objectIds=1215&amp;outFields=%2A&amp;returnGeometry=false&amp;f=pjson" xr:uid="{00000000-0004-0000-0000-000010000000}"/>
    <hyperlink ref="C19" r:id="rId18" tooltip="https://services3.arcgis.com/T4QMspbfLg3qTGWY/arcgis/rest/services/Historic_Geomac_Perimeters_2016/FeatureServer/0/query?objectIds=1713&amp;outFields=%2A&amp;returnGeometry=false&amp;f=pjson" xr:uid="{00000000-0004-0000-0000-000011000000}"/>
    <hyperlink ref="C20" r:id="rId19" tooltip="https://doi.org/10.6084/m9.figshare.19858927.v3" xr:uid="{00000000-0004-0000-0000-000012000000}"/>
    <hyperlink ref="C21" r:id="rId20" tooltip="https://services3.arcgis.com/T4QMspbfLg3qTGWY/arcgis/rest/services/Historic_Geomac_Perimeters_2016/FeatureServer/0/query?objectIds=625&amp;outFields=%2A&amp;returnGeometry=false&amp;f=pjson" xr:uid="{00000000-0004-0000-0000-000013000000}"/>
    <hyperlink ref="C22" r:id="rId21" tooltip="https://doi.org/10.6084/m9.figshare.19858927.v3" xr:uid="{00000000-0004-0000-0000-000014000000}"/>
    <hyperlink ref="C23" r:id="rId22" tooltip="https://services3.arcgis.com/T4QMspbfLg3qTGWY/arcgis/rest/services/Historic_Geomac_Perimeters_2016/FeatureServer/0/query?objectIds=1231&amp;outFields=%2A&amp;returnGeometry=false&amp;f=pjson" xr:uid="{00000000-0004-0000-0000-000015000000}"/>
    <hyperlink ref="C24" r:id="rId23" tooltip="https://doi.org/10.3390/fire2020022" xr:uid="{00000000-0004-0000-0000-000016000000}"/>
    <hyperlink ref="C25" r:id="rId24" tooltip="https://services3.arcgis.com/T4QMspbfLg3qTGWY/arcgis/rest/services/Historic_Geomac_Perimeters_2016/FeatureServer/0/query?objectIds=1332&amp;outFields=%2A&amp;returnGeometry=false&amp;f=pjson" xr:uid="{00000000-0004-0000-0000-000017000000}"/>
    <hyperlink ref="C26" r:id="rId25" tooltip="https://doi.org/10.6084/m9.figshare.19858927.v3" xr:uid="{00000000-0004-0000-0000-000018000000}"/>
    <hyperlink ref="C27" r:id="rId26" tooltip="https://services3.arcgis.com/T4QMspbfLg3qTGWY/arcgis/rest/services/Historic_Geomac_Perimeters_2016/FeatureServer/0/query?objectIds=14&amp;outFields=%2A&amp;returnGeometry=false&amp;f=pjson" xr:uid="{00000000-0004-0000-0000-000019000000}"/>
    <hyperlink ref="C28" r:id="rId27" tooltip="https://services3.arcgis.com/T4QMspbfLg3qTGWY/arcgis/rest/services/Historic_Geomac_Perimeters_2016/FeatureServer/0/query?objectIds=1556&amp;outFields=%2A&amp;returnGeometry=false&amp;f=pjson" xr:uid="{00000000-0004-0000-0000-00001A000000}"/>
    <hyperlink ref="C29" r:id="rId28" tooltip="https://doi.org/10.6084/m9.figshare.19858927.v3" xr:uid="{00000000-0004-0000-0000-00001B000000}"/>
    <hyperlink ref="C30" r:id="rId29" tooltip="https://services3.arcgis.com/T4QMspbfLg3qTGWY/arcgis/rest/services/Historic_Geomac_Perimeters_2016/FeatureServer/0/query?objectIds=13&amp;outFields=%2A&amp;returnGeometry=false&amp;f=pjson" xr:uid="{00000000-0004-0000-0000-00001C000000}"/>
    <hyperlink ref="C31" r:id="rId30" tooltip="https://doi.org/10.6084/m9.figshare.19858927.v3" xr:uid="{00000000-0004-0000-0000-00001D000000}"/>
    <hyperlink ref="C32" r:id="rId31" tooltip="https://services3.arcgis.com/T4QMspbfLg3qTGWY/arcgis/rest/services/Historic_Geomac_Perimeters_2016/FeatureServer/0/query?objectIds=22&amp;outFields=%2A&amp;returnGeometry=false&amp;f=pjson" xr:uid="{00000000-0004-0000-0000-00001E000000}"/>
    <hyperlink ref="C33" r:id="rId32" tooltip="https://doi.org/10.6084/m9.figshare.19858927.v3" xr:uid="{00000000-0004-0000-0000-00001F000000}"/>
    <hyperlink ref="C34" r:id="rId33" tooltip="https://services3.arcgis.com/T4QMspbfLg3qTGWY/arcgis/rest/services/Historic_Geomac_Perimeters_2016/FeatureServer/0/query?objectIds=1562&amp;outFields=%2A&amp;returnGeometry=false&amp;f=pjson" xr:uid="{00000000-0004-0000-0000-000020000000}"/>
    <hyperlink ref="C35" r:id="rId34" tooltip="https://services3.arcgis.com/T4QMspbfLg3qTGWY/arcgis/rest/services/Historic_Geomac_Perimeters_2016/FeatureServer/0/query?objectIds=72&amp;outFields=%2A&amp;returnGeometry=false&amp;f=pjson" xr:uid="{00000000-0004-0000-0000-000021000000}"/>
    <hyperlink ref="C36" r:id="rId35" tooltip="https://doi.org/10.6084/m9.figshare.19858927.v3" xr:uid="{00000000-0004-0000-0000-000022000000}"/>
    <hyperlink ref="C37" r:id="rId36" tooltip="https://yellowpinetimes.wordpress.com/2016/08/01/fire-update-aug-1/" xr:uid="{00000000-0004-0000-0000-000023000000}"/>
    <hyperlink ref="C38" r:id="rId37" tooltip="https://services3.arcgis.com/T4QMspbfLg3qTGWY/arcgis/rest/services/Historic_Geomac_Perimeters_2016/FeatureServer/0/query?objectIds=2029&amp;outFields=%2A&amp;returnGeometry=false&amp;f=pjson" xr:uid="{00000000-0004-0000-0000-000024000000}"/>
    <hyperlink ref="C39" r:id="rId38" tooltip="https://services3.arcgis.com/T4QMspbfLg3qTGWY/arcgis/rest/services/Historic_Geomac_Perimeters_2016/FeatureServer/0/query?objectIds=2028&amp;outFields=%2A&amp;returnGeometry=false&amp;f=pjson" xr:uid="{00000000-0004-0000-0000-000025000000}"/>
    <hyperlink ref="C40" r:id="rId39" tooltip="https://doi.org/10.6084/m9.figshare.19858927.v3" xr:uid="{00000000-0004-0000-0000-000026000000}"/>
    <hyperlink ref="C41" r:id="rId40" tooltip="https://services3.arcgis.com/T4QMspbfLg3qTGWY/arcgis/rest/services/Historic_Geomac_Perimeters_2016/FeatureServer/0/query?objectIds=1606&amp;outFields=%2A&amp;returnGeometry=false&amp;f=pjson" xr:uid="{00000000-0004-0000-0000-000027000000}"/>
    <hyperlink ref="C42" r:id="rId41" tooltip="https://doi.org/10.6084/m9.figshare.19858927.v3" xr:uid="{00000000-0004-0000-0000-000028000000}"/>
    <hyperlink ref="C43" r:id="rId42" tooltip="https://services3.arcgis.com/T4QMspbfLg3qTGWY/arcgis/rest/services/Historic_Geomac_Perimeters_2016/FeatureServer/0/query?objectIds=1627&amp;outFields=%2A&amp;returnGeometry=false&amp;f=pjson" xr:uid="{00000000-0004-0000-0000-000029000000}"/>
    <hyperlink ref="C44" r:id="rId43" tooltip="https://services3.arcgis.com/T4QMspbfLg3qTGWY/arcgis/rest/services/Historic_Geomac_Perimeters_2016/FeatureServer/0/query?objectIds=1677&amp;outFields=%2A&amp;returnGeometry=false&amp;f=pjson" xr:uid="{00000000-0004-0000-0000-00002A000000}"/>
    <hyperlink ref="C45" r:id="rId44" tooltip="https://doi.org/10.6084/m9.figshare.19858927.v3" xr:uid="{00000000-0004-0000-0000-00002B000000}"/>
    <hyperlink ref="C46" r:id="rId45" tooltip="https://services3.arcgis.com/T4QMspbfLg3qTGWY/arcgis/rest/services/Historic_Geomac_Perimeters_2016/FeatureServer/0/query?objectIds=1676&amp;outFields=%2A&amp;returnGeometry=false&amp;f=pjson" xr:uid="{00000000-0004-0000-0000-00002C000000}"/>
    <hyperlink ref="C47" r:id="rId46" tooltip="https://services3.arcgis.com/T4QMspbfLg3qTGWY/arcgis/rest/services/Historic_Geomac_Perimeters_2016/FeatureServer/0/query?objectIds=3424&amp;outFields=%2A&amp;returnGeometry=false&amp;f=pjson" xr:uid="{00000000-0004-0000-0000-00002D000000}"/>
    <hyperlink ref="C48" r:id="rId47" tooltip="https://services3.arcgis.com/T4QMspbfLg3qTGWY/arcgis/rest/services/Historic_Geomac_Perimeters_2016/FeatureServer/0/query?objectIds=1698&amp;outFields=%2A&amp;returnGeometry=false&amp;f=pjson" xr:uid="{00000000-0004-0000-0000-00002E000000}"/>
    <hyperlink ref="C49" r:id="rId48" tooltip="https://doi.org/10.6084/m9.figshare.19858927.v3" xr:uid="{00000000-0004-0000-0000-00002F000000}"/>
    <hyperlink ref="C50" r:id="rId49" tooltip="https://doi.org/10.6084/m9.figshare.19858927.v3" xr:uid="{00000000-0004-0000-0000-000030000000}"/>
    <hyperlink ref="C51" r:id="rId50" tooltip="https://services3.arcgis.com/T4QMspbfLg3qTGWY/arcgis/rest/services/Historic_Geomac_Perimeters_2016/FeatureServer/0/query?objectIds=1738&amp;outFields=%2A&amp;returnGeometry=false&amp;f=pjson" xr:uid="{00000000-0004-0000-0000-000031000000}"/>
    <hyperlink ref="C52" r:id="rId51" tooltip="https://services3.arcgis.com/T4QMspbfLg3qTGWY/arcgis/rest/services/Historic_Geomac_Perimeters_2016/FeatureServer/0/query?objectIds=2255&amp;outFields=%2A&amp;returnGeometry=false&amp;f=pjson" xr:uid="{00000000-0004-0000-0000-000032000000}"/>
    <hyperlink ref="C53" r:id="rId52" tooltip="https://doi.org/10.6084/m9.figshare.19858927.v3" xr:uid="{00000000-0004-0000-0000-000033000000}"/>
    <hyperlink ref="C54" r:id="rId53" tooltip="https://services3.arcgis.com/T4QMspbfLg3qTGWY/arcgis/rest/services/Historic_Geomac_Perimeters_2016/FeatureServer/0/query?objectIds=2254&amp;outFields=%2A&amp;returnGeometry=false&amp;f=pjson" xr:uid="{00000000-0004-0000-0000-000034000000}"/>
    <hyperlink ref="C55" r:id="rId54" tooltip="https://doi.org/10.6084/m9.figshare.19858927.v3" xr:uid="{00000000-0004-0000-0000-000035000000}"/>
    <hyperlink ref="C56" r:id="rId55" tooltip="https://doi.org/10.6084/m9.figshare.19858927.v3" xr:uid="{00000000-0004-0000-0000-000036000000}"/>
    <hyperlink ref="C57" r:id="rId56" tooltip="https://services3.arcgis.com/T4QMspbfLg3qTGWY/arcgis/rest/services/Historic_Geomac_Perimeters_2016/FeatureServer/0/query?objectIds=1776&amp;outFields=%2A&amp;returnGeometry=false&amp;f=pjson" xr:uid="{00000000-0004-0000-0000-000037000000}"/>
    <hyperlink ref="C58" r:id="rId57" tooltip="https://services3.arcgis.com/T4QMspbfLg3qTGWY/arcgis/rest/services/Historic_Geomac_Perimeters_2016/FeatureServer/0/query?objectIds=3423&amp;outFields=%2A&amp;returnGeometry=false&amp;f=pjson" xr:uid="{00000000-0004-0000-0000-000038000000}"/>
    <hyperlink ref="C59" r:id="rId58" tooltip="https://doi.org/10.6084/m9.figshare.19858927.v3" xr:uid="{00000000-0004-0000-0000-000039000000}"/>
    <hyperlink ref="C60" r:id="rId59" tooltip="https://services3.arcgis.com/T4QMspbfLg3qTGWY/arcgis/rest/services/Historic_Geomac_Perimeters_2016/FeatureServer/0/query?objectIds=1815&amp;outFields=%2A&amp;returnGeometry=false&amp;f=pjson" xr:uid="{00000000-0004-0000-0000-00003A000000}"/>
    <hyperlink ref="C61" r:id="rId60" tooltip="https://doi.org/10.6084/m9.figshare.19858927.v3" xr:uid="{00000000-0004-0000-0000-00003B000000}"/>
    <hyperlink ref="C62" r:id="rId61" tooltip="https://services3.arcgis.com/T4QMspbfLg3qTGWY/arcgis/rest/services/Historic_Geomac_Perimeters_2016/FeatureServer/0/query?objectIds=1400&amp;outFields=%2A&amp;returnGeometry=false&amp;f=pjson" xr:uid="{00000000-0004-0000-0000-00003C000000}"/>
    <hyperlink ref="C63" r:id="rId62" tooltip="https://services3.arcgis.com/T4QMspbfLg3qTGWY/arcgis/rest/services/Historic_Geomac_Perimeters_2016/FeatureServer/0/query?objectIds=1838&amp;outFields=%2A&amp;returnGeometry=false&amp;f=pjson" xr:uid="{00000000-0004-0000-0000-00003D000000}"/>
    <hyperlink ref="C64" r:id="rId63" tooltip="https://doi.org/10.6084/m9.figshare.19858927.v3" xr:uid="{00000000-0004-0000-0000-00003E000000}"/>
    <hyperlink ref="C65" r:id="rId64" tooltip="https://doi.org/10.6084/m9.figshare.19858927.v3" xr:uid="{00000000-0004-0000-0000-00003F000000}"/>
    <hyperlink ref="C66" r:id="rId65" tooltip="https://services3.arcgis.com/T4QMspbfLg3qTGWY/arcgis/rest/services/Historic_Geomac_Perimeters_2016/FeatureServer/0/query?objectIds=1720&amp;outFields=%2A&amp;returnGeometry=false&amp;f=pjson" xr:uid="{00000000-0004-0000-0000-000040000000}"/>
    <hyperlink ref="C67" r:id="rId66" tooltip="https://doi.org/10.6084/m9.figshare.19858927.v3" xr:uid="{00000000-0004-0000-0000-000041000000}"/>
    <hyperlink ref="C68" r:id="rId67" tooltip="https://doi.org/10.6084/m9.figshare.19858927.v3" xr:uid="{00000000-0004-0000-0000-000042000000}"/>
    <hyperlink ref="C69" r:id="rId68" tooltip="https://services3.arcgis.com/T4QMspbfLg3qTGWY/arcgis/rest/services/Historic_Geomac_Perimeters_2016/FeatureServer/0/query?objectIds=1725&amp;outFields=%2A&amp;returnGeometry=false&amp;f=pjson" xr:uid="{00000000-0004-0000-0000-000043000000}"/>
    <hyperlink ref="C70" r:id="rId69" tooltip="https://services3.arcgis.com/T4QMspbfLg3qTGWY/arcgis/rest/services/Historic_Geomac_Perimeters_2016/FeatureServer/0/query?objectIds=1921&amp;outFields=%2A&amp;returnGeometry=false&amp;f=pjson" xr:uid="{00000000-0004-0000-0000-000044000000}"/>
    <hyperlink ref="C71" r:id="rId70" tooltip="https://doi.org/10.6084/m9.figshare.19858927.v3" xr:uid="{00000000-0004-0000-0000-000045000000}"/>
    <hyperlink ref="C72" r:id="rId71" tooltip="https://services3.arcgis.com/T4QMspbfLg3qTGWY/arcgis/rest/services/Historic_Geomac_Perimeters_2016/FeatureServer/0/query?objectIds=1920&amp;outFields=%2A&amp;returnGeometry=false&amp;f=pjson" xr:uid="{00000000-0004-0000-0000-000046000000}"/>
    <hyperlink ref="C73" r:id="rId72" tooltip="https://doi.org/10.6084/m9.figshare.19858927.v3" xr:uid="{00000000-0004-0000-0000-000047000000}"/>
    <hyperlink ref="C74" r:id="rId73" tooltip="https://services3.arcgis.com/T4QMspbfLg3qTGWY/arcgis/rest/services/Historic_Geomac_Perimeters_2016/FeatureServer/0/query?objectIds=1900&amp;outFields=%2A&amp;returnGeometry=false&amp;f=pjson" xr:uid="{00000000-0004-0000-0000-000048000000}"/>
    <hyperlink ref="C75" r:id="rId74" tooltip="https://services3.arcgis.com/T4QMspbfLg3qTGWY/arcgis/rest/services/Historic_Geomac_Perimeters_2016/FeatureServer/0/query?objectIds=183&amp;outFields=%2A&amp;returnGeometry=false&amp;f=pjson" xr:uid="{00000000-0004-0000-0000-000049000000}"/>
    <hyperlink ref="C76" r:id="rId75" tooltip="https://doi.org/10.6084/m9.figshare.19858927.v3" xr:uid="{00000000-0004-0000-0000-00004A000000}"/>
    <hyperlink ref="C77" r:id="rId76" tooltip="https://doi.org/10.6084/m9.figshare.19858927.v3" xr:uid="{00000000-0004-0000-0000-00004B000000}"/>
    <hyperlink ref="C78" r:id="rId77" tooltip="https://services3.arcgis.com/T4QMspbfLg3qTGWY/arcgis/rest/services/Historic_Geomac_Perimeters_2016/FeatureServer/0/query?objectIds=1902&amp;outFields=%2A&amp;returnGeometry=false&amp;f=pjson" xr:uid="{00000000-0004-0000-0000-00004C000000}"/>
    <hyperlink ref="C79" r:id="rId78" tooltip="https://services3.arcgis.com/T4QMspbfLg3qTGWY/arcgis/rest/services/Historic_Geomac_Perimeters_2016/FeatureServer/0/query?objectIds=2043&amp;outFields=%2A&amp;returnGeometry=false&amp;f=pjson" xr:uid="{00000000-0004-0000-0000-00004D000000}"/>
    <hyperlink ref="C80" r:id="rId79" tooltip="https://doi.org/10.6084/m9.figshare.19858927.v3" xr:uid="{00000000-0004-0000-0000-00004E000000}"/>
    <hyperlink ref="C81" r:id="rId80" tooltip="https://doi.org/10.6084/m9.figshare.19858927.v3" xr:uid="{00000000-0004-0000-0000-00004F000000}"/>
    <hyperlink ref="C82" r:id="rId81" tooltip="https://services3.arcgis.com/T4QMspbfLg3qTGWY/arcgis/rest/services/Historic_Geomac_Perimeters_2016/FeatureServer/0/query?objectIds=2042&amp;outFields=%2A&amp;returnGeometry=false&amp;f=pjson" xr:uid="{00000000-0004-0000-0000-000050000000}"/>
    <hyperlink ref="C83" r:id="rId82" tooltip="https://services3.arcgis.com/T4QMspbfLg3qTGWY/arcgis/rest/services/Historic_Geomac_Perimeters_2016/FeatureServer/0/query?objectIds=3419&amp;outFields=%2A&amp;returnGeometry=false&amp;f=pjson" xr:uid="{00000000-0004-0000-0000-000051000000}"/>
    <hyperlink ref="C84" r:id="rId83" tooltip="https://doi.org/10.6084/m9.figshare.19858927.v3" xr:uid="{00000000-0004-0000-0000-000052000000}"/>
    <hyperlink ref="C85" r:id="rId84" tooltip="https://services3.arcgis.com/T4QMspbfLg3qTGWY/arcgis/rest/services/Historic_Geomac_Perimeters_2016/FeatureServer/0/query?objectIds=2573&amp;outFields=%2A&amp;returnGeometry=false&amp;f=pjson" xr:uid="{00000000-0004-0000-0000-000053000000}"/>
    <hyperlink ref="C86" r:id="rId85" tooltip="https://doi.org/10.6084/m9.figshare.19858927.v3" xr:uid="{00000000-0004-0000-0000-000054000000}"/>
    <hyperlink ref="C87" r:id="rId86" tooltip="https://services3.arcgis.com/T4QMspbfLg3qTGWY/arcgis/rest/services/Historic_Geomac_Perimeters_2016/FeatureServer/0/query?objectIds=3418&amp;outFields=%2A&amp;returnGeometry=false&amp;f=pjson" xr:uid="{00000000-0004-0000-0000-000055000000}"/>
    <hyperlink ref="C88" r:id="rId87" tooltip="https://services3.arcgis.com/T4QMspbfLg3qTGWY/arcgis/rest/services/Historic_Geomac_Perimeters_2016/FeatureServer/0/query?objectIds=2486&amp;outFields=%2A&amp;returnGeometry=false&amp;f=pjson" xr:uid="{00000000-0004-0000-0000-000056000000}"/>
    <hyperlink ref="C89" r:id="rId88" tooltip="https://services3.arcgis.com/T4QMspbfLg3qTGWY/arcgis/rest/services/Historic_Geomac_Perimeters_2016/FeatureServer/0/query?objectIds=1452&amp;outFields=%2A&amp;returnGeometry=false&amp;f=pjson" xr:uid="{00000000-0004-0000-0000-000057000000}"/>
    <hyperlink ref="C90" r:id="rId89" tooltip="https://doi.org/10.6084/m9.figshare.19858927.v3" xr:uid="{00000000-0004-0000-0000-000058000000}"/>
    <hyperlink ref="C91" r:id="rId90" tooltip="https://services3.arcgis.com/T4QMspbfLg3qTGWY/arcgis/rest/services/Historic_Geomac_Perimeters_2016/FeatureServer/0/query?objectIds=1446&amp;outFields=%2A&amp;returnGeometry=false&amp;f=pjson" xr:uid="{00000000-0004-0000-0000-000059000000}"/>
    <hyperlink ref="C92" r:id="rId91" tooltip="https://services3.arcgis.com/T4QMspbfLg3qTGWY/arcgis/rest/services/Historic_Geomac_Perimeters_2016/FeatureServer/0/query?objectIds=178&amp;outFields=%2A&amp;returnGeometry=false&amp;f=pjson" xr:uid="{00000000-0004-0000-0000-00005A000000}"/>
    <hyperlink ref="C93" r:id="rId92" tooltip="https://doi.org/10.6084/m9.figshare.19858927.v3" xr:uid="{00000000-0004-0000-0000-00005B000000}"/>
    <hyperlink ref="C94" r:id="rId93" tooltip="https://services3.arcgis.com/T4QMspbfLg3qTGWY/arcgis/rest/services/Historic_Geomac_Perimeters_2016/FeatureServer/0/query?objectIds=2464&amp;outFields=%2A&amp;returnGeometry=false&amp;f=pjson" xr:uid="{00000000-0004-0000-0000-00005C000000}"/>
    <hyperlink ref="C95" r:id="rId94" tooltip="https://services3.arcgis.com/T4QMspbfLg3qTGWY/arcgis/rest/services/Historic_Geomac_Perimeters_2016/FeatureServer/0/query?objectIds=2472&amp;outFields=%2A&amp;returnGeometry=false&amp;f=pjson" xr:uid="{00000000-0004-0000-0000-00005D000000}"/>
    <hyperlink ref="C96" r:id="rId95" tooltip="https://doi.org/10.6084/m9.figshare.19858927.v3" xr:uid="{00000000-0004-0000-0000-00005E000000}"/>
    <hyperlink ref="C97" r:id="rId96" tooltip="https://services3.arcgis.com/T4QMspbfLg3qTGWY/arcgis/rest/services/Historic_Geomac_Perimeters_2016/FeatureServer/0/query?objectIds=2656&amp;outFields=%2A&amp;returnGeometry=false&amp;f=pjson" xr:uid="{00000000-0004-0000-0000-00005F000000}"/>
    <hyperlink ref="C98" r:id="rId97" tooltip="https://doi.org/10.6084/m9.figshare.19858927.v3" xr:uid="{00000000-0004-0000-0000-000060000000}"/>
    <hyperlink ref="C99" r:id="rId98" tooltip="https://doi.org/10.6084/m9.figshare.19858927.v3" xr:uid="{00000000-0004-0000-0000-000061000000}"/>
    <hyperlink ref="C100" r:id="rId99" tooltip="https://services3.arcgis.com/T4QMspbfLg3qTGWY/arcgis/rest/services/Historic_Geomac_Perimeters_2016/FeatureServer/0/query?objectIds=2598&amp;outFields=%2A&amp;returnGeometry=false&amp;f=pjson" xr:uid="{00000000-0004-0000-0000-000062000000}"/>
    <hyperlink ref="C101" r:id="rId100" tooltip="https://services3.arcgis.com/T4QMspbfLg3qTGWY/arcgis/rest/services/Historic_Geomac_Perimeters_2016/FeatureServer/0/query?objectIds=2729&amp;outFields=%2A&amp;returnGeometry=false&amp;f=pjson" xr:uid="{00000000-0004-0000-0000-000063000000}"/>
    <hyperlink ref="C102" r:id="rId101" tooltip="https://services3.arcgis.com/T4QMspbfLg3qTGWY/arcgis/rest/services/Historic_Geomac_Perimeters_2016/FeatureServer/0/query?objectIds=1943&amp;outFields=%2A&amp;returnGeometry=false&amp;f=pjson" xr:uid="{00000000-0004-0000-0000-000064000000}"/>
    <hyperlink ref="C103" r:id="rId102" tooltip="https://doi.org/10.6084/m9.figshare.19858927.v3" xr:uid="{00000000-0004-0000-0000-000065000000}"/>
    <hyperlink ref="C104" r:id="rId103" tooltip="https://doi.org/10.5194/acp-23-1-2023" xr:uid="{00000000-0004-0000-0000-000066000000}"/>
    <hyperlink ref="C105" r:id="rId104" tooltip="https://doi.org/10.1029/2020GL089001" xr:uid="{00000000-0004-0000-0000-000067000000}"/>
    <hyperlink ref="C106" r:id="rId105" tooltip="https://services3.arcgis.com/T4QMspbfLg3qTGWY/arcgis/rest/services/Historic_Geomac_Perimeters_2016/FeatureServer/0/query?objectIds=3417&amp;outFields=%2A&amp;returnGeometry=false&amp;f=pjson" xr:uid="{00000000-0004-0000-0000-000068000000}"/>
    <hyperlink ref="C107" r:id="rId106" tooltip="https://doi.org/10.6084/m9.figshare.19858927.v3" xr:uid="{00000000-0004-0000-0000-000069000000}"/>
    <hyperlink ref="C108" r:id="rId107" tooltip="https://doi.org/10.5194/acp-23-1-2023" xr:uid="{00000000-0004-0000-0000-00006A000000}"/>
    <hyperlink ref="C109" r:id="rId108" tooltip="https://services3.arcgis.com/T4QMspbfLg3qTGWY/arcgis/rest/services/Historic_Geomac_Perimeters_2016/FeatureServer/0/query?objectIds=2805&amp;outFields=%2A&amp;returnGeometry=false&amp;f=pjson" xr:uid="{00000000-0004-0000-0000-00006B000000}"/>
    <hyperlink ref="C110" r:id="rId109" tooltip="https://doi.org/10.6084/m9.figshare.19858927.v3" xr:uid="{00000000-0004-0000-0000-00006C000000}"/>
    <hyperlink ref="C111" r:id="rId110" tooltip="https://doi.org/10.6084/m9.figshare.19858927.v3" xr:uid="{00000000-0004-0000-0000-00006D000000}"/>
    <hyperlink ref="C112" r:id="rId111" tooltip="https://services3.arcgis.com/T4QMspbfLg3qTGWY/arcgis/rest/services/Historic_Geomac_Perimeters_2016/FeatureServer/0/query?objectIds=2108&amp;outFields=%2A&amp;returnGeometry=false&amp;f=pjson" xr:uid="{00000000-0004-0000-0000-00006E000000}"/>
    <hyperlink ref="C113" r:id="rId112" tooltip="https://services3.arcgis.com/T4QMspbfLg3qTGWY/arcgis/rest/services/Historic_Geomac_Perimeters_2016/FeatureServer/0/query?objectIds=2111&amp;outFields=%2A&amp;returnGeometry=false&amp;f=pjson" xr:uid="{00000000-0004-0000-0000-00006F000000}"/>
    <hyperlink ref="C114" r:id="rId113" tooltip="https://doi.org/10.6084/m9.figshare.19858927.v3" xr:uid="{00000000-0004-0000-0000-000070000000}"/>
    <hyperlink ref="C115" r:id="rId114" tooltip="https://services3.arcgis.com/T4QMspbfLg3qTGWY/arcgis/rest/services/Historic_Geomac_Perimeters_2016/FeatureServer/0/query?objectIds=2366&amp;outFields=%2A&amp;returnGeometry=false&amp;f=pjson" xr:uid="{00000000-0004-0000-0000-000071000000}"/>
    <hyperlink ref="C116" r:id="rId115" tooltip="https://doi.org/10.6084/m9.figshare.19858927.v3" xr:uid="{00000000-0004-0000-0000-000072000000}"/>
    <hyperlink ref="C117" r:id="rId116" tooltip="https://services3.arcgis.com/T4QMspbfLg3qTGWY/arcgis/rest/services/Historic_Geomac_Perimeters_2016/FeatureServer/0/query?objectIds=2885&amp;outFields=%2A&amp;returnGeometry=false&amp;f=pjson" xr:uid="{00000000-0004-0000-0000-000073000000}"/>
    <hyperlink ref="C118" r:id="rId117" tooltip="https://services3.arcgis.com/T4QMspbfLg3qTGWY/arcgis/rest/services/Historic_Geomac_Perimeters_2016/FeatureServer/0/query?objectIds=2823&amp;outFields=%2A&amp;returnGeometry=false&amp;f=pjson" xr:uid="{00000000-0004-0000-0000-000074000000}"/>
    <hyperlink ref="C119" r:id="rId118" tooltip="https://doi.org/10.6084/m9.figshare.19858927.v3" xr:uid="{00000000-0004-0000-0000-000075000000}"/>
    <hyperlink ref="C120" r:id="rId119" tooltip="https://doi.org/10.6084/m9.figshare.19858927.v3" xr:uid="{00000000-0004-0000-0000-000076000000}"/>
    <hyperlink ref="C121" r:id="rId120" tooltip="https://services3.arcgis.com/T4QMspbfLg3qTGWY/arcgis/rest/services/Historic_Geomac_Perimeters_2016/FeatureServer/0/query?objectIds=2569&amp;outFields=%2A&amp;returnGeometry=false&amp;f=pjson" xr:uid="{00000000-0004-0000-0000-000077000000}"/>
    <hyperlink ref="C122" r:id="rId121" tooltip="https://services3.arcgis.com/T4QMspbfLg3qTGWY/arcgis/rest/services/Historic_Geomac_Perimeters_2016/FeatureServer/0/query?objectIds=2921&amp;outFields=%2A&amp;returnGeometry=false&amp;f=pjson" xr:uid="{00000000-0004-0000-0000-000078000000}"/>
    <hyperlink ref="C123" r:id="rId122" tooltip="https://doi.org/10.6084/m9.figshare.19858927.v3" xr:uid="{00000000-0004-0000-0000-000079000000}"/>
    <hyperlink ref="C124" r:id="rId123" tooltip="https://services3.arcgis.com/T4QMspbfLg3qTGWY/arcgis/rest/services/Historic_Geomac_Perimeters_2016/FeatureServer/0/query?objectIds=2832&amp;outFields=%2A&amp;returnGeometry=false&amp;f=pjson" xr:uid="{00000000-0004-0000-0000-00007A000000}"/>
    <hyperlink ref="C125" r:id="rId124" tooltip="https://www.frames.gov/documents/catalog/calkin_et_al_2016_PioneerFireInquiry.pdf" xr:uid="{00000000-0004-0000-0000-00007B000000}"/>
    <hyperlink ref="C126" r:id="rId125" tooltip="https://doi.org/10.6084/m9.figshare.19858927.v3" xr:uid="{00000000-0004-0000-0000-00007C000000}"/>
    <hyperlink ref="C127" r:id="rId126" tooltip="https://services3.arcgis.com/T4QMspbfLg3qTGWY/arcgis/rest/services/Historic_Geomac_Perimeters_2016/FeatureServer/0/query?objectIds=2630&amp;outFields=%2A&amp;returnGeometry=false&amp;f=pjson" xr:uid="{00000000-0004-0000-0000-00007D000000}"/>
    <hyperlink ref="C128" r:id="rId127" tooltip="https://services3.arcgis.com/T4QMspbfLg3qTGWY/arcgis/rest/services/Historic_Geomac_Perimeters_2016/FeatureServer/0/query?objectIds=210&amp;outFields=%2A&amp;returnGeometry=false&amp;f=pjson" xr:uid="{00000000-0004-0000-0000-00007E000000}"/>
    <hyperlink ref="C129" r:id="rId128" tooltip="https://doi.org/10.6084/m9.figshare.19858927.v3" xr:uid="{00000000-0004-0000-0000-00007F000000}"/>
    <hyperlink ref="C130" r:id="rId129" tooltip="https://services3.arcgis.com/T4QMspbfLg3qTGWY/arcgis/rest/services/Historic_Geomac_Perimeters_2016/FeatureServer/0/query?objectIds=2880&amp;outFields=%2A&amp;returnGeometry=false&amp;f=pjson" xr:uid="{00000000-0004-0000-0000-000080000000}"/>
    <hyperlink ref="C131" r:id="rId130" tooltip="https://services3.arcgis.com/T4QMspbfLg3qTGWY/arcgis/rest/services/Historic_Geomac_Perimeters_2016/FeatureServer/0/query?objectIds=3416&amp;outFields=%2A&amp;returnGeometry=false&amp;f=pjson" xr:uid="{00000000-0004-0000-0000-000081000000}"/>
    <hyperlink ref="C132" r:id="rId131" tooltip="https://doi.org/10.6084/m9.figshare.19858927.v3" xr:uid="{00000000-0004-0000-0000-000082000000}"/>
    <hyperlink ref="C133" r:id="rId132" tooltip="https://services3.arcgis.com/T4QMspbfLg3qTGWY/arcgis/rest/services/Historic_Geomac_Perimeters_2016/FeatureServer/0/query?objectIds=2646&amp;outFields=%2A&amp;returnGeometry=false&amp;f=pjson" xr:uid="{00000000-0004-0000-0000-000083000000}"/>
    <hyperlink ref="C134" r:id="rId133" tooltip="https://services3.arcgis.com/T4QMspbfLg3qTGWY/arcgis/rest/services/Historic_Geomac_Perimeters_2016/FeatureServer/0/query?objectIds=2995&amp;outFields=%2A&amp;returnGeometry=false&amp;f=pjson" xr:uid="{00000000-0004-0000-0000-000084000000}"/>
    <hyperlink ref="C135" r:id="rId134" tooltip="https://doi.org/10.6084/m9.figshare.19858927.v3" xr:uid="{00000000-0004-0000-0000-000085000000}"/>
    <hyperlink ref="C136" r:id="rId135" tooltip="https://www.nasa.gov/image-article/pioneer-fire-maple-fire-burning-still/" xr:uid="{00000000-0004-0000-0000-000086000000}"/>
    <hyperlink ref="C137" r:id="rId136" tooltip="https://services3.arcgis.com/T4QMspbfLg3qTGWY/arcgis/rest/services/Historic_Geomac_Perimeters_2016/FeatureServer/0/query?objectIds=2673&amp;outFields=%2A&amp;returnGeometry=false&amp;f=pjson" xr:uid="{00000000-0004-0000-0000-000087000000}"/>
    <hyperlink ref="C138" r:id="rId137" tooltip="https://doi.org/10.6084/m9.figshare.19858927.v3" xr:uid="{00000000-0004-0000-0000-000088000000}"/>
    <hyperlink ref="C139" r:id="rId138" tooltip="https://doi.org/10.6084/m9.figshare.19858927.v3" xr:uid="{00000000-0004-0000-0000-000089000000}"/>
    <hyperlink ref="C140" r:id="rId139" tooltip="https://www.nasa.gov/image-article/pioneer-fire-maple-fire-burning-still/" xr:uid="{00000000-0004-0000-0000-00008A000000}"/>
    <hyperlink ref="C141" r:id="rId140" tooltip="https://services3.arcgis.com/T4QMspbfLg3qTGWY/arcgis/rest/services/Historic_Geomac_Perimeters_2016/FeatureServer/0/query?objectIds=1579&amp;outFields=%2A&amp;returnGeometry=false&amp;f=pjson" xr:uid="{00000000-0004-0000-0000-00008B000000}"/>
    <hyperlink ref="C142" r:id="rId141" tooltip="https://doi.org/10.6084/m9.figshare.19858927.v3" xr:uid="{00000000-0004-0000-0000-00008C000000}"/>
    <hyperlink ref="C143" r:id="rId142" tooltip="https://services3.arcgis.com/T4QMspbfLg3qTGWY/arcgis/rest/services/Historic_Geomac_Perimeters_2016/FeatureServer/0/query?objectIds=2173&amp;outFields=%2A&amp;returnGeometry=false&amp;f=pjson" xr:uid="{00000000-0004-0000-0000-00008D000000}"/>
    <hyperlink ref="C144" r:id="rId143" tooltip="https://services3.arcgis.com/T4QMspbfLg3qTGWY/arcgis/rest/services/Historic_Geomac_Perimeters_2016/FeatureServer/0/query?objectIds=3018&amp;outFields=%2A&amp;returnGeometry=false&amp;f=pjson" xr:uid="{00000000-0004-0000-0000-00008E000000}"/>
    <hyperlink ref="C145" r:id="rId144" tooltip="https://doi.org/10.6084/m9.figshare.19858927.v3" xr:uid="{00000000-0004-0000-0000-00008F000000}"/>
    <hyperlink ref="C146" r:id="rId145" tooltip="https://services3.arcgis.com/T4QMspbfLg3qTGWY/arcgis/rest/services/Historic_Geomac_Perimeters_2016/FeatureServer/0/query?objectIds=2171&amp;outFields=%2A&amp;returnGeometry=false&amp;f=pjson" xr:uid="{00000000-0004-0000-0000-000090000000}"/>
    <hyperlink ref="C147" r:id="rId146" tooltip="https://services3.arcgis.com/T4QMspbfLg3qTGWY/arcgis/rest/services/Historic_Geomac_Perimeters_2016/FeatureServer/0/query?objectIds=3026&amp;outFields=%2A&amp;returnGeometry=false&amp;f=pjson" xr:uid="{00000000-0004-0000-0000-000091000000}"/>
    <hyperlink ref="C148" r:id="rId147" tooltip="https://doi.org/10.6084/m9.figshare.19858927.v3" xr:uid="{00000000-0004-0000-0000-000092000000}"/>
    <hyperlink ref="C149" r:id="rId148" tooltip="https://services3.arcgis.com/T4QMspbfLg3qTGWY/arcgis/rest/services/Historic_Geomac_Perimeters_2016/FeatureServer/0/query?objectIds=3021&amp;outFields=%2A&amp;returnGeometry=false&amp;f=pjson" xr:uid="{00000000-0004-0000-0000-000093000000}"/>
    <hyperlink ref="C150" r:id="rId149" tooltip="https://services3.arcgis.com/T4QMspbfLg3qTGWY/arcgis/rest/services/Historic_Geomac_Perimeters_2016/FeatureServer/0/query?objectIds=3043&amp;outFields=%2A&amp;returnGeometry=false&amp;f=pjson" xr:uid="{00000000-0004-0000-0000-000094000000}"/>
    <hyperlink ref="C151" r:id="rId150" tooltip="https://doi.org/10.6084/m9.figshare.19858927.v3" xr:uid="{00000000-0004-0000-0000-000095000000}"/>
    <hyperlink ref="C152" r:id="rId151" tooltip="https://services3.arcgis.com/T4QMspbfLg3qTGWY/arcgis/rest/services/Historic_Geomac_Perimeters_2016/FeatureServer/0/query?objectIds=3042&amp;outFields=%2A&amp;returnGeometry=false&amp;f=pjson" xr:uid="{00000000-0004-0000-0000-000096000000}"/>
    <hyperlink ref="C153" r:id="rId152" tooltip="https://services3.arcgis.com/T4QMspbfLg3qTGWY/arcgis/rest/services/Historic_Geomac_Perimeters_2016/FeatureServer/0/query?objectIds=1501&amp;outFields=%2A&amp;returnGeometry=false&amp;f=pjson" xr:uid="{00000000-0004-0000-0000-000097000000}"/>
    <hyperlink ref="C154" r:id="rId153" tooltip="https://doi.org/10.6084/m9.figshare.19858927.v3" xr:uid="{00000000-0004-0000-0000-000098000000}"/>
    <hyperlink ref="C155" r:id="rId154" tooltip="https://services3.arcgis.com/T4QMspbfLg3qTGWY/arcgis/rest/services/Historic_Geomac_Perimeters_2016/FeatureServer/0/query?objectIds=1500&amp;outFields=%2A&amp;returnGeometry=false&amp;f=pjson" xr:uid="{00000000-0004-0000-0000-000099000000}"/>
    <hyperlink ref="C156" r:id="rId155" tooltip="https://doi.org/10.6084/m9.figshare.19858927.v3" xr:uid="{00000000-0004-0000-0000-00009A000000}"/>
    <hyperlink ref="C157" r:id="rId156" tooltip="https://services3.arcgis.com/T4QMspbfLg3qTGWY/arcgis/rest/services/Historic_Geomac_Perimeters_2016/FeatureServer/0/query?objectIds=1499&amp;outFields=%2A&amp;returnGeometry=false&amp;f=pjson" xr:uid="{00000000-0004-0000-0000-00009B000000}"/>
    <hyperlink ref="C158" r:id="rId157" tooltip="https://services3.arcgis.com/T4QMspbfLg3qTGWY/arcgis/rest/services/Historic_Geomac_Perimeters_2016/FeatureServer/0/query?objectIds=1498&amp;outFields=%2A&amp;returnGeometry=false&amp;f=pjson" xr:uid="{00000000-0004-0000-0000-00009C000000}"/>
    <hyperlink ref="C159" r:id="rId158" tooltip="https://doi.org/10.6084/m9.figshare.19858927.v3" xr:uid="{00000000-0004-0000-0000-00009D000000}"/>
    <hyperlink ref="C160" r:id="rId159" tooltip="https://doi.org/10.6084/m9.figshare.19858927.v3" xr:uid="{00000000-0004-0000-0000-00009E000000}"/>
    <hyperlink ref="C161" r:id="rId160" tooltip="https://doi.org/10.6084/m9.figshare.19858927.v3" xr:uid="{00000000-0004-0000-0000-00009F000000}"/>
    <hyperlink ref="C162" r:id="rId161" tooltip="https://doi.org/10.6084/m9.figshare.19858927.v3" xr:uid="{00000000-0004-0000-0000-0000A0000000}"/>
    <hyperlink ref="C163" r:id="rId162" tooltip="https://doi.org/10.6084/m9.figshare.19858927.v3" xr:uid="{00000000-0004-0000-0000-0000A1000000}"/>
    <hyperlink ref="C164" r:id="rId163" tooltip="https://doi.org/10.6084/m9.figshare.19858927.v3" xr:uid="{00000000-0004-0000-0000-0000A2000000}"/>
    <hyperlink ref="C165" r:id="rId164" tooltip="https://doi.org/10.6084/m9.figshare.19858927.v3" xr:uid="{00000000-0004-0000-0000-0000A3000000}"/>
    <hyperlink ref="C166" r:id="rId165" tooltip="https://services3.arcgis.com/T4QMspbfLg3qTGWY/arcgis/rest/services/Historic_Geomac_Perimeters_2016/FeatureServer/0/query?objectIds=3214&amp;outFields=%2A&amp;returnGeometry=false&amp;f=pjson" xr:uid="{00000000-0004-0000-0000-0000A4000000}"/>
    <hyperlink ref="C167" r:id="rId166" tooltip="https://doi.org/10.6084/m9.figshare.19858927.v3" xr:uid="{00000000-0004-0000-0000-0000A5000000}"/>
    <hyperlink ref="C168" r:id="rId167" tooltip="https://doi.org/10.6084/m9.figshare.19858927.v3" xr:uid="{00000000-0004-0000-0000-0000A6000000}"/>
    <hyperlink ref="C169" r:id="rId168" tooltip="https://doi.org/10.6084/m9.figshare.19858927.v3" xr:uid="{00000000-0004-0000-0000-0000A7000000}"/>
    <hyperlink ref="C170" r:id="rId169" tooltip="https://services3.arcgis.com/T4QMspbfLg3qTGWY/arcgis/rest/services/Historic_Geomac_Perimeters_2016/FeatureServer/0/query?objectIds=3415&amp;outFields=%2A&amp;returnGeometry=false&amp;f=pjson" xr:uid="{00000000-0004-0000-0000-0000A8000000}"/>
    <hyperlink ref="C171" r:id="rId170" tooltip="https://doi.org/10.6084/m9.figshare.19858927.v3" xr:uid="{00000000-0004-0000-0000-0000A9000000}"/>
    <hyperlink ref="C172" r:id="rId171" tooltip="https://doi.org/10.6084/m9.figshare.19858927.v3" xr:uid="{00000000-0004-0000-0000-0000AA000000}"/>
    <hyperlink ref="C173" r:id="rId172" tooltip="https://services3.arcgis.com/T4QMspbfLg3qTGWY/arcgis/rest/services/Historic_Geomac_Perimeters_2016/FeatureServer/0/query?objectIds=2958&amp;outFields=%2A&amp;returnGeometry=false&amp;f=pjson" xr:uid="{00000000-0004-0000-0000-0000AB000000}"/>
    <hyperlink ref="C174" r:id="rId173" tooltip="https://services3.arcgis.com/T4QMspbfLg3qTGWY/arcgis/rest/services/Historic_Geomac_Perimeters_2016/FeatureServer/0/query?objectIds=1719&amp;outFields=%2A&amp;returnGeometry=false&amp;f=pjson" xr:uid="{00000000-0004-0000-0000-0000AC000000}"/>
    <hyperlink ref="C175" r:id="rId174" tooltip="https://doi.org/10.6084/m9.figshare.19858927.v3" xr:uid="{00000000-0004-0000-0000-0000AD000000}"/>
    <hyperlink ref="C176" r:id="rId175" tooltip="https://yellowpinetimes.wordpress.com/2016/09/29/fire-update-sept-29/" xr:uid="{00000000-0004-0000-0000-0000AE000000}"/>
    <hyperlink ref="C177" r:id="rId176" tooltip="https://doi.org/10.6084/m9.figshare.19858927.v3" xr:uid="{00000000-0004-0000-0000-0000AF000000}"/>
    <hyperlink ref="C178" r:id="rId177" tooltip="https://doi.org/10.6084/m9.figshare.19858927.v3" xr:uid="{00000000-0004-0000-0000-0000B0000000}"/>
    <hyperlink ref="C179" r:id="rId178" tooltip="https://doi.org/10.6084/m9.figshare.19858927.v3" xr:uid="{00000000-0004-0000-0000-0000B1000000}"/>
    <hyperlink ref="C180" r:id="rId179" tooltip="https://doi.org/10.6084/m9.figshare.19858927.v3" xr:uid="{00000000-0004-0000-0000-0000B2000000}"/>
    <hyperlink ref="C181" r:id="rId180" tooltip="https://doi.org/10.6084/m9.figshare.19858927.v3" xr:uid="{00000000-0004-0000-0000-0000B3000000}"/>
    <hyperlink ref="C182" r:id="rId181" tooltip="https://doi.org/10.1029/2020GL089001" xr:uid="{00000000-0004-0000-0000-0000B4000000}"/>
    <hyperlink ref="C183" r:id="rId182" tooltip="https://doi.org/10.6084/m9.figshare.19858927.v3" xr:uid="{00000000-0004-0000-0000-0000B5000000}"/>
  </hyperlinks>
  <pageMargins left="0.7" right="0.7" top="0.75" bottom="0.75" header="0.3" footer="0.3"/>
  <tableParts count="1">
    <tablePart r:id="rId18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2"/>
  <sheetViews>
    <sheetView showGridLines="0" workbookViewId="0">
      <pane ySplit="1" topLeftCell="A2" activePane="bottomLeft" state="frozen"/>
      <selection pane="bottomLeft" activeCell="E1" sqref="E1:E1048576"/>
    </sheetView>
  </sheetViews>
  <sheetFormatPr defaultRowHeight="13.8"/>
  <cols>
    <col min="1" max="1" width="31" style="3" customWidth="1"/>
    <col min="2" max="2" width="14" style="3" customWidth="1"/>
    <col min="3" max="3" width="40" style="3" customWidth="1"/>
    <col min="4" max="4" width="43" style="3" customWidth="1"/>
    <col min="5" max="5" width="52" style="11" customWidth="1"/>
    <col min="6" max="16384" width="8.76171875" style="3"/>
  </cols>
  <sheetData>
    <row r="1" spans="1:5" ht="32.049999999999997" customHeight="1">
      <c r="A1" s="1" t="s">
        <v>111</v>
      </c>
      <c r="B1" s="1" t="s">
        <v>1</v>
      </c>
      <c r="C1" s="1" t="s">
        <v>2</v>
      </c>
      <c r="D1" s="1" t="s">
        <v>3</v>
      </c>
      <c r="E1" s="10" t="s">
        <v>4</v>
      </c>
    </row>
    <row r="2" spans="1:5" ht="62.05" customHeight="1">
      <c r="A2" s="9">
        <v>44059</v>
      </c>
      <c r="B2" s="5"/>
      <c r="C2" s="6" t="s">
        <v>112</v>
      </c>
      <c r="D2" s="7" t="s">
        <v>113</v>
      </c>
      <c r="E2" s="2" t="s">
        <v>114</v>
      </c>
    </row>
    <row r="3" spans="1:5" ht="76" customHeight="1">
      <c r="A3" s="9">
        <v>44060</v>
      </c>
      <c r="B3" s="5"/>
      <c r="C3" s="6" t="s">
        <v>115</v>
      </c>
      <c r="D3" s="7" t="s">
        <v>116</v>
      </c>
      <c r="E3" s="2" t="s">
        <v>117</v>
      </c>
    </row>
    <row r="4" spans="1:5" ht="76" customHeight="1">
      <c r="A4" s="14">
        <v>44060.25</v>
      </c>
      <c r="B4" s="5"/>
      <c r="C4" s="6" t="s">
        <v>118</v>
      </c>
      <c r="D4" s="7" t="s">
        <v>119</v>
      </c>
      <c r="E4" s="2" t="s">
        <v>120</v>
      </c>
    </row>
    <row r="5" spans="1:5" ht="62.05" customHeight="1">
      <c r="A5" s="14">
        <v>44060.277777777781</v>
      </c>
      <c r="B5" s="5"/>
      <c r="C5" s="6" t="s">
        <v>121</v>
      </c>
      <c r="D5" s="7" t="s">
        <v>122</v>
      </c>
      <c r="E5" s="2" t="s">
        <v>123</v>
      </c>
    </row>
    <row r="6" spans="1:5" ht="62.05" customHeight="1">
      <c r="A6" s="14">
        <v>44060.333333333336</v>
      </c>
      <c r="B6" s="5"/>
      <c r="C6" s="6" t="s">
        <v>124</v>
      </c>
      <c r="D6" s="7" t="s">
        <v>122</v>
      </c>
      <c r="E6" s="2" t="s">
        <v>125</v>
      </c>
    </row>
    <row r="7" spans="1:5" ht="27" customHeight="1">
      <c r="A7" s="14">
        <v>44060.375</v>
      </c>
      <c r="B7" s="5">
        <f>0.771*1000000/4046.8564224</f>
        <v>190.51824911118447</v>
      </c>
      <c r="C7" s="6" t="s">
        <v>126</v>
      </c>
      <c r="D7" s="7" t="s">
        <v>127</v>
      </c>
      <c r="E7" s="2"/>
    </row>
    <row r="8" spans="1:5" ht="27" customHeight="1">
      <c r="A8" s="14">
        <v>44060.416666666664</v>
      </c>
      <c r="B8" s="5">
        <f>0.771*1000000/4046.8564224</f>
        <v>190.51824911118447</v>
      </c>
      <c r="C8" s="6" t="s">
        <v>126</v>
      </c>
      <c r="D8" s="7" t="s">
        <v>127</v>
      </c>
      <c r="E8" s="2"/>
    </row>
    <row r="9" spans="1:5" ht="27" customHeight="1">
      <c r="A9" s="14">
        <v>44060.458333333336</v>
      </c>
      <c r="B9" s="5">
        <f>5.124*1000000/4046.8564224</f>
        <v>1266.1679746377552</v>
      </c>
      <c r="C9" s="6" t="s">
        <v>126</v>
      </c>
      <c r="D9" s="7" t="s">
        <v>127</v>
      </c>
      <c r="E9" s="2"/>
    </row>
    <row r="10" spans="1:5" ht="27" customHeight="1">
      <c r="A10" s="14">
        <v>44060.5</v>
      </c>
      <c r="B10" s="5">
        <f>5.124*1000000/4046.8564224</f>
        <v>1266.1679746377552</v>
      </c>
      <c r="C10" s="6" t="s">
        <v>126</v>
      </c>
      <c r="D10" s="7" t="s">
        <v>127</v>
      </c>
      <c r="E10" s="2"/>
    </row>
    <row r="11" spans="1:5" ht="27" customHeight="1">
      <c r="A11" s="14">
        <v>44060.541666666664</v>
      </c>
      <c r="B11" s="5">
        <f>5.124*1000000/4046.8564224</f>
        <v>1266.1679746377552</v>
      </c>
      <c r="C11" s="6" t="s">
        <v>126</v>
      </c>
      <c r="D11" s="7" t="s">
        <v>127</v>
      </c>
      <c r="E11" s="2"/>
    </row>
    <row r="12" spans="1:5" ht="27" customHeight="1">
      <c r="A12" s="14">
        <v>44060.583333333336</v>
      </c>
      <c r="B12" s="5">
        <f>7.507*1000000/4046.8564224</f>
        <v>1855.0200986740101</v>
      </c>
      <c r="C12" s="6" t="s">
        <v>126</v>
      </c>
      <c r="D12" s="7" t="s">
        <v>127</v>
      </c>
      <c r="E12" s="2"/>
    </row>
    <row r="13" spans="1:5" ht="27" customHeight="1">
      <c r="A13" s="14">
        <v>44060.625</v>
      </c>
      <c r="B13" s="5">
        <f>7.507*1000000/4046.8564224</f>
        <v>1855.0200986740101</v>
      </c>
      <c r="C13" s="6" t="s">
        <v>126</v>
      </c>
      <c r="D13" s="7" t="s">
        <v>127</v>
      </c>
      <c r="E13" s="2"/>
    </row>
    <row r="14" spans="1:5" ht="27" customHeight="1">
      <c r="A14" s="14">
        <v>44060.666666666664</v>
      </c>
      <c r="B14" s="5">
        <f>8.477*1000000/4046.8564224</f>
        <v>2094.7123186971603</v>
      </c>
      <c r="C14" s="6" t="s">
        <v>126</v>
      </c>
      <c r="D14" s="7" t="s">
        <v>127</v>
      </c>
      <c r="E14" s="2"/>
    </row>
    <row r="15" spans="1:5" ht="27" customHeight="1">
      <c r="A15" s="14">
        <v>44060.708333333336</v>
      </c>
      <c r="B15" s="5">
        <f>8.477*1000000/4046.8564224</f>
        <v>2094.7123186971603</v>
      </c>
      <c r="C15" s="6" t="s">
        <v>126</v>
      </c>
      <c r="D15" s="7" t="s">
        <v>127</v>
      </c>
      <c r="E15" s="2"/>
    </row>
    <row r="16" spans="1:5" ht="27" customHeight="1">
      <c r="A16" s="14">
        <v>44060.75</v>
      </c>
      <c r="B16" s="5">
        <f>8.477*1000000/4046.8564224</f>
        <v>2094.7123186971603</v>
      </c>
      <c r="C16" s="6" t="s">
        <v>126</v>
      </c>
      <c r="D16" s="7" t="s">
        <v>127</v>
      </c>
      <c r="E16" s="2"/>
    </row>
    <row r="17" spans="1:5" ht="27" customHeight="1">
      <c r="A17" s="14">
        <v>44060.791666666664</v>
      </c>
      <c r="B17" s="5">
        <f>8.477*1000000/4046.8564224</f>
        <v>2094.7123186971603</v>
      </c>
      <c r="C17" s="6" t="s">
        <v>126</v>
      </c>
      <c r="D17" s="7" t="s">
        <v>127</v>
      </c>
      <c r="E17" s="2"/>
    </row>
    <row r="18" spans="1:5" ht="27" customHeight="1">
      <c r="A18" s="14">
        <v>44060.833333333336</v>
      </c>
      <c r="B18" s="5">
        <f>8.771*1000000/4046.8564224</f>
        <v>2167.3613008485072</v>
      </c>
      <c r="C18" s="6" t="s">
        <v>126</v>
      </c>
      <c r="D18" s="7" t="s">
        <v>127</v>
      </c>
      <c r="E18" s="2"/>
    </row>
    <row r="19" spans="1:5" ht="27" customHeight="1">
      <c r="A19" s="14">
        <v>44060.875</v>
      </c>
      <c r="B19" s="5">
        <f>8.771*1000000/4046.8564224</f>
        <v>2167.3613008485072</v>
      </c>
      <c r="C19" s="6" t="s">
        <v>126</v>
      </c>
      <c r="D19" s="7" t="s">
        <v>127</v>
      </c>
      <c r="E19" s="2"/>
    </row>
    <row r="20" spans="1:5" ht="27" customHeight="1">
      <c r="A20" s="14">
        <v>44060.916666666664</v>
      </c>
      <c r="B20" s="5">
        <f>8.771*1000000/4046.8564224</f>
        <v>2167.3613008485072</v>
      </c>
      <c r="C20" s="6" t="s">
        <v>126</v>
      </c>
      <c r="D20" s="7" t="s">
        <v>127</v>
      </c>
      <c r="E20" s="2"/>
    </row>
    <row r="21" spans="1:5" ht="27" customHeight="1">
      <c r="A21" s="14">
        <v>44060.958333333336</v>
      </c>
      <c r="B21" s="5">
        <f>14.56*1000000/4046.8564224</f>
        <v>3597.8543541619274</v>
      </c>
      <c r="C21" s="6" t="s">
        <v>126</v>
      </c>
      <c r="D21" s="7" t="s">
        <v>127</v>
      </c>
      <c r="E21" s="2"/>
    </row>
    <row r="22" spans="1:5" ht="76" customHeight="1">
      <c r="A22" s="9">
        <v>44061</v>
      </c>
      <c r="B22" s="5"/>
      <c r="C22" s="6" t="s">
        <v>128</v>
      </c>
      <c r="D22" s="7" t="s">
        <v>129</v>
      </c>
      <c r="E22" s="2" t="s">
        <v>130</v>
      </c>
    </row>
    <row r="23" spans="1:5" ht="62.05" customHeight="1">
      <c r="A23" s="15">
        <v>44061</v>
      </c>
      <c r="B23" s="5">
        <f>14.7786979939544*1000000/4046.8564224</f>
        <v>3651.8958053841334</v>
      </c>
      <c r="C23" s="6" t="s">
        <v>131</v>
      </c>
      <c r="D23" s="7" t="s">
        <v>132</v>
      </c>
      <c r="E23" s="2" t="s">
        <v>133</v>
      </c>
    </row>
    <row r="24" spans="1:5" ht="62.05" customHeight="1">
      <c r="A24" s="15">
        <v>44061</v>
      </c>
      <c r="B24" s="5">
        <f>0.282337938682241*1000000/4046.8564224</f>
        <v>69.767224040728294</v>
      </c>
      <c r="C24" s="6" t="s">
        <v>134</v>
      </c>
      <c r="D24" s="7" t="s">
        <v>132</v>
      </c>
      <c r="E24" s="2" t="s">
        <v>135</v>
      </c>
    </row>
    <row r="25" spans="1:5" ht="27" customHeight="1">
      <c r="A25" s="14">
        <v>44061</v>
      </c>
      <c r="B25" s="5">
        <f>14.56*1000000/4046.8564224</f>
        <v>3597.8543541619274</v>
      </c>
      <c r="C25" s="6" t="s">
        <v>126</v>
      </c>
      <c r="D25" s="7" t="s">
        <v>127</v>
      </c>
      <c r="E25" s="2"/>
    </row>
    <row r="26" spans="1:5" ht="27" customHeight="1">
      <c r="A26" s="14">
        <v>44061.041666666664</v>
      </c>
      <c r="B26" s="5">
        <f>17*1000000/4046.8564224</f>
        <v>4200.7914849418103</v>
      </c>
      <c r="C26" s="6" t="s">
        <v>126</v>
      </c>
      <c r="D26" s="7" t="s">
        <v>127</v>
      </c>
      <c r="E26" s="2"/>
    </row>
    <row r="27" spans="1:5" ht="27" customHeight="1">
      <c r="A27" s="14">
        <v>44061.083333333336</v>
      </c>
      <c r="B27" s="5">
        <f>17*1000000/4046.8564224</f>
        <v>4200.7914849418103</v>
      </c>
      <c r="C27" s="6" t="s">
        <v>126</v>
      </c>
      <c r="D27" s="7" t="s">
        <v>127</v>
      </c>
      <c r="E27" s="2"/>
    </row>
    <row r="28" spans="1:5" ht="27" customHeight="1">
      <c r="A28" s="14">
        <v>44061.125</v>
      </c>
      <c r="B28" s="5">
        <f>17*1000000/4046.8564224</f>
        <v>4200.7914849418103</v>
      </c>
      <c r="C28" s="6" t="s">
        <v>126</v>
      </c>
      <c r="D28" s="7" t="s">
        <v>127</v>
      </c>
      <c r="E28" s="2"/>
    </row>
    <row r="29" spans="1:5" ht="27" customHeight="1">
      <c r="A29" s="14">
        <v>44061.166666666664</v>
      </c>
      <c r="B29" s="5">
        <f>18.867*1000000/4046.8564224</f>
        <v>4662.1372321410081</v>
      </c>
      <c r="C29" s="6" t="s">
        <v>126</v>
      </c>
      <c r="D29" s="7" t="s">
        <v>127</v>
      </c>
      <c r="E29" s="2"/>
    </row>
    <row r="30" spans="1:5" ht="27" customHeight="1">
      <c r="A30" s="14">
        <v>44061.208333333336</v>
      </c>
      <c r="B30" s="5">
        <f>18.92*1000000/4046.8564224</f>
        <v>4675.2338173587677</v>
      </c>
      <c r="C30" s="6" t="s">
        <v>126</v>
      </c>
      <c r="D30" s="7" t="s">
        <v>127</v>
      </c>
      <c r="E30" s="2"/>
    </row>
    <row r="31" spans="1:5" ht="27" customHeight="1">
      <c r="A31" s="14">
        <v>44061.25</v>
      </c>
      <c r="B31" s="5">
        <f>18.92*1000000/4046.8564224</f>
        <v>4675.2338173587677</v>
      </c>
      <c r="C31" s="6" t="s">
        <v>126</v>
      </c>
      <c r="D31" s="7" t="s">
        <v>127</v>
      </c>
      <c r="E31" s="2"/>
    </row>
    <row r="32" spans="1:5" ht="27" customHeight="1">
      <c r="A32" s="14">
        <v>44061.291666666664</v>
      </c>
      <c r="B32" s="5">
        <f>18.92*1000000/4046.8564224</f>
        <v>4675.2338173587677</v>
      </c>
      <c r="C32" s="6" t="s">
        <v>126</v>
      </c>
      <c r="D32" s="7" t="s">
        <v>127</v>
      </c>
      <c r="E32" s="2"/>
    </row>
    <row r="33" spans="1:5" ht="27" customHeight="1">
      <c r="A33" s="14">
        <v>44061.333333333336</v>
      </c>
      <c r="B33" s="5">
        <f>18.92*1000000/4046.8564224</f>
        <v>4675.2338173587677</v>
      </c>
      <c r="C33" s="6" t="s">
        <v>126</v>
      </c>
      <c r="D33" s="7" t="s">
        <v>127</v>
      </c>
      <c r="E33" s="2"/>
    </row>
    <row r="34" spans="1:5" ht="27" customHeight="1">
      <c r="A34" s="14">
        <v>44061.375</v>
      </c>
      <c r="B34" s="5">
        <f>18.92*1000000/4046.8564224</f>
        <v>4675.2338173587677</v>
      </c>
      <c r="C34" s="6" t="s">
        <v>126</v>
      </c>
      <c r="D34" s="7" t="s">
        <v>127</v>
      </c>
      <c r="E34" s="2"/>
    </row>
    <row r="35" spans="1:5" ht="27" customHeight="1">
      <c r="A35" s="14">
        <v>44061.416666666664</v>
      </c>
      <c r="B35" s="5">
        <f>19.586*1000000/4046.8564224</f>
        <v>4839.8060014159</v>
      </c>
      <c r="C35" s="6" t="s">
        <v>126</v>
      </c>
      <c r="D35" s="7" t="s">
        <v>127</v>
      </c>
      <c r="E35" s="2"/>
    </row>
    <row r="36" spans="1:5" ht="27" customHeight="1">
      <c r="A36" s="14">
        <v>44061.458333333336</v>
      </c>
      <c r="B36" s="5">
        <f>19.586*1000000/4046.8564224</f>
        <v>4839.8060014159</v>
      </c>
      <c r="C36" s="6" t="s">
        <v>126</v>
      </c>
      <c r="D36" s="7" t="s">
        <v>127</v>
      </c>
      <c r="E36" s="2"/>
    </row>
    <row r="37" spans="1:5" ht="62.05" customHeight="1">
      <c r="A37" s="16">
        <v>44061.5</v>
      </c>
      <c r="B37" s="5">
        <f>29.6548488605866*1000000/4046.8564224</f>
        <v>7327.8727400463858</v>
      </c>
      <c r="C37" s="6" t="s">
        <v>136</v>
      </c>
      <c r="D37" s="7" t="s">
        <v>132</v>
      </c>
      <c r="E37" s="2" t="s">
        <v>137</v>
      </c>
    </row>
    <row r="38" spans="1:5" ht="62.05" customHeight="1">
      <c r="A38" s="16">
        <v>44061.5</v>
      </c>
      <c r="B38" s="5">
        <f>3.07762859462005*1000000/4046.8564224</f>
        <v>760.49858788784343</v>
      </c>
      <c r="C38" s="6" t="s">
        <v>138</v>
      </c>
      <c r="D38" s="7" t="s">
        <v>132</v>
      </c>
      <c r="E38" s="2" t="s">
        <v>139</v>
      </c>
    </row>
    <row r="39" spans="1:5" ht="27" customHeight="1">
      <c r="A39" s="14">
        <v>44061.5</v>
      </c>
      <c r="B39" s="5">
        <f>25.433*1000000/4046.8564224</f>
        <v>6284.6311668544158</v>
      </c>
      <c r="C39" s="6" t="s">
        <v>126</v>
      </c>
      <c r="D39" s="7" t="s">
        <v>127</v>
      </c>
      <c r="E39" s="2"/>
    </row>
    <row r="40" spans="1:5" ht="27" customHeight="1">
      <c r="A40" s="14">
        <v>44061.541666666664</v>
      </c>
      <c r="B40" s="5">
        <f>36.05*1000000/4046.8564224</f>
        <v>8908.14900189131</v>
      </c>
      <c r="C40" s="6" t="s">
        <v>126</v>
      </c>
      <c r="D40" s="7" t="s">
        <v>127</v>
      </c>
      <c r="E40" s="2"/>
    </row>
    <row r="41" spans="1:5" ht="27" customHeight="1">
      <c r="A41" s="14">
        <v>44061.583333333336</v>
      </c>
      <c r="B41" s="5">
        <f>49.252*1000000/4046.8564224</f>
        <v>12170.434248020827</v>
      </c>
      <c r="C41" s="6" t="s">
        <v>126</v>
      </c>
      <c r="D41" s="7" t="s">
        <v>127</v>
      </c>
      <c r="E41" s="2"/>
    </row>
    <row r="42" spans="1:5" ht="27" customHeight="1">
      <c r="A42" s="14">
        <v>44061.625</v>
      </c>
      <c r="B42" s="5">
        <f>92.646*1000000/4046.8564224</f>
        <v>22893.325171406999</v>
      </c>
      <c r="C42" s="6" t="s">
        <v>126</v>
      </c>
      <c r="D42" s="7" t="s">
        <v>127</v>
      </c>
      <c r="E42" s="2"/>
    </row>
    <row r="43" spans="1:5" ht="27" customHeight="1">
      <c r="A43" s="14">
        <v>44061.666666666664</v>
      </c>
      <c r="B43" s="5">
        <f>108.331*1000000/4046.8564224</f>
        <v>26769.173079719487</v>
      </c>
      <c r="C43" s="6" t="s">
        <v>126</v>
      </c>
      <c r="D43" s="7" t="s">
        <v>127</v>
      </c>
      <c r="E43" s="2"/>
    </row>
    <row r="44" spans="1:5" ht="27" customHeight="1">
      <c r="A44" s="14">
        <v>44061.708333333336</v>
      </c>
      <c r="B44" s="5">
        <f>122.404*1000000/4046.8564224</f>
        <v>30246.687113106906</v>
      </c>
      <c r="C44" s="6" t="s">
        <v>126</v>
      </c>
      <c r="D44" s="7" t="s">
        <v>127</v>
      </c>
      <c r="E44" s="2"/>
    </row>
    <row r="45" spans="1:5" ht="27" customHeight="1">
      <c r="A45" s="14">
        <v>44061.75</v>
      </c>
      <c r="B45" s="5">
        <f>128.887*1000000/4046.8564224</f>
        <v>31848.671301158538</v>
      </c>
      <c r="C45" s="6" t="s">
        <v>126</v>
      </c>
      <c r="D45" s="7" t="s">
        <v>127</v>
      </c>
      <c r="E45" s="2"/>
    </row>
    <row r="46" spans="1:5" ht="27" customHeight="1">
      <c r="A46" s="14">
        <v>44061.791666666664</v>
      </c>
      <c r="B46" s="5">
        <f>136.586*1000000/4046.8564224</f>
        <v>33751.135633074242</v>
      </c>
      <c r="C46" s="6" t="s">
        <v>126</v>
      </c>
      <c r="D46" s="7" t="s">
        <v>127</v>
      </c>
      <c r="E46" s="2"/>
    </row>
    <row r="47" spans="1:5" ht="27" customHeight="1">
      <c r="A47" s="14">
        <v>44061.833333333336</v>
      </c>
      <c r="B47" s="5">
        <f>139.447*1000000/4046.8564224</f>
        <v>34458.104129451807</v>
      </c>
      <c r="C47" s="6" t="s">
        <v>126</v>
      </c>
      <c r="D47" s="7" t="s">
        <v>127</v>
      </c>
      <c r="E47" s="2"/>
    </row>
    <row r="48" spans="1:5" ht="27" customHeight="1">
      <c r="A48" s="14">
        <v>44061.875</v>
      </c>
      <c r="B48" s="5">
        <f>184.236*1000000/4046.8564224</f>
        <v>45525.70705998467</v>
      </c>
      <c r="C48" s="6" t="s">
        <v>126</v>
      </c>
      <c r="D48" s="7" t="s">
        <v>127</v>
      </c>
      <c r="E48" s="2"/>
    </row>
    <row r="49" spans="1:5" ht="27" customHeight="1">
      <c r="A49" s="14">
        <v>44061.916666666664</v>
      </c>
      <c r="B49" s="5">
        <f>186.885*1000000/4046.8564224</f>
        <v>46180.28921549119</v>
      </c>
      <c r="C49" s="6" t="s">
        <v>126</v>
      </c>
      <c r="D49" s="7" t="s">
        <v>127</v>
      </c>
      <c r="E49" s="2"/>
    </row>
    <row r="50" spans="1:5" ht="27" customHeight="1">
      <c r="A50" s="14">
        <v>44061.958333333336</v>
      </c>
      <c r="B50" s="5">
        <f>195.532*1000000/4046.8564224</f>
        <v>48317.009449037774</v>
      </c>
      <c r="C50" s="6" t="s">
        <v>126</v>
      </c>
      <c r="D50" s="7" t="s">
        <v>127</v>
      </c>
      <c r="E50" s="2"/>
    </row>
    <row r="51" spans="1:5" ht="62.05" customHeight="1">
      <c r="A51" s="15">
        <v>44062</v>
      </c>
      <c r="B51" s="5">
        <f>168.358475337561*1000000/4046.8564224</f>
        <v>41602.285271518362</v>
      </c>
      <c r="C51" s="6" t="s">
        <v>140</v>
      </c>
      <c r="D51" s="7" t="s">
        <v>132</v>
      </c>
      <c r="E51" s="2" t="s">
        <v>141</v>
      </c>
    </row>
    <row r="52" spans="1:5" ht="62.05" customHeight="1">
      <c r="A52" s="15">
        <v>44062</v>
      </c>
      <c r="B52" s="5">
        <f>39.9912364458251*1000000/4046.8564224</f>
        <v>9882.0497372892169</v>
      </c>
      <c r="C52" s="6" t="s">
        <v>142</v>
      </c>
      <c r="D52" s="7" t="s">
        <v>132</v>
      </c>
      <c r="E52" s="2" t="s">
        <v>143</v>
      </c>
    </row>
    <row r="53" spans="1:5" ht="62.05" customHeight="1">
      <c r="A53" s="15">
        <v>44062</v>
      </c>
      <c r="B53" s="5">
        <f>8.96017410101722*1000000/4046.8564224</f>
        <v>2214.1072392440751</v>
      </c>
      <c r="C53" s="6" t="s">
        <v>144</v>
      </c>
      <c r="D53" s="7" t="s">
        <v>132</v>
      </c>
      <c r="E53" s="2" t="s">
        <v>145</v>
      </c>
    </row>
    <row r="54" spans="1:5" ht="27" customHeight="1">
      <c r="A54" s="14">
        <v>44062</v>
      </c>
      <c r="B54" s="5">
        <f>257.422*1000000/4046.8564224</f>
        <v>63610.361508040645</v>
      </c>
      <c r="C54" s="6" t="s">
        <v>126</v>
      </c>
      <c r="D54" s="7" t="s">
        <v>127</v>
      </c>
      <c r="E54" s="2"/>
    </row>
    <row r="55" spans="1:5" ht="27" customHeight="1">
      <c r="A55" s="14">
        <v>44062.041666666664</v>
      </c>
      <c r="B55" s="5">
        <f>293.18*1000000/4046.8564224</f>
        <v>72446.355738543527</v>
      </c>
      <c r="C55" s="6" t="s">
        <v>126</v>
      </c>
      <c r="D55" s="7" t="s">
        <v>127</v>
      </c>
      <c r="E55" s="2"/>
    </row>
    <row r="56" spans="1:5" ht="27" customHeight="1">
      <c r="A56" s="14">
        <v>44062.083333333336</v>
      </c>
      <c r="B56" s="5">
        <f>379.077*1000000/4046.8564224</f>
        <v>93671.966690428628</v>
      </c>
      <c r="C56" s="6" t="s">
        <v>126</v>
      </c>
      <c r="D56" s="7" t="s">
        <v>127</v>
      </c>
      <c r="E56" s="2"/>
    </row>
    <row r="57" spans="1:5" ht="27" customHeight="1">
      <c r="A57" s="14">
        <v>44062.125</v>
      </c>
      <c r="B57" s="5">
        <f>464.336*1000000/4046.8564224</f>
        <v>114739.92440893769</v>
      </c>
      <c r="C57" s="6" t="s">
        <v>126</v>
      </c>
      <c r="D57" s="7" t="s">
        <v>127</v>
      </c>
      <c r="E57" s="2"/>
    </row>
    <row r="58" spans="1:5" ht="27" customHeight="1">
      <c r="A58" s="14">
        <v>44062.166666666664</v>
      </c>
      <c r="B58" s="5">
        <f>501.484*1000000/4046.8564224</f>
        <v>123919.39511967995</v>
      </c>
      <c r="C58" s="6" t="s">
        <v>126</v>
      </c>
      <c r="D58" s="7" t="s">
        <v>127</v>
      </c>
      <c r="E58" s="2"/>
    </row>
    <row r="59" spans="1:5" ht="27" customHeight="1">
      <c r="A59" s="14">
        <v>44062.208333333336</v>
      </c>
      <c r="B59" s="5">
        <f>506.959*1000000/4046.8564224</f>
        <v>125272.29708321267</v>
      </c>
      <c r="C59" s="6" t="s">
        <v>126</v>
      </c>
      <c r="D59" s="7" t="s">
        <v>127</v>
      </c>
      <c r="E59" s="2"/>
    </row>
    <row r="60" spans="1:5" ht="27" customHeight="1">
      <c r="A60" s="14">
        <v>44062.25</v>
      </c>
      <c r="B60" s="5">
        <f>531.611*1000000/4046.8564224</f>
        <v>131363.93894714123</v>
      </c>
      <c r="C60" s="6" t="s">
        <v>126</v>
      </c>
      <c r="D60" s="7" t="s">
        <v>127</v>
      </c>
      <c r="E60" s="2"/>
    </row>
    <row r="61" spans="1:5" ht="27" customHeight="1">
      <c r="A61" s="14">
        <v>44062.291666666664</v>
      </c>
      <c r="B61" s="5">
        <f>539.539*1000000/4046.8564224</f>
        <v>133322.9904114129</v>
      </c>
      <c r="C61" s="6" t="s">
        <v>126</v>
      </c>
      <c r="D61" s="7" t="s">
        <v>127</v>
      </c>
      <c r="E61" s="2"/>
    </row>
    <row r="62" spans="1:5" ht="27" customHeight="1">
      <c r="A62" s="14">
        <v>44062.333333333336</v>
      </c>
      <c r="B62" s="5">
        <f>546.651*1000000/4046.8564224</f>
        <v>135080.40388440739</v>
      </c>
      <c r="C62" s="6" t="s">
        <v>126</v>
      </c>
      <c r="D62" s="7" t="s">
        <v>127</v>
      </c>
      <c r="E62" s="2"/>
    </row>
    <row r="63" spans="1:5" ht="48" customHeight="1">
      <c r="A63" s="14">
        <v>44062.333333333336</v>
      </c>
      <c r="B63" s="8">
        <v>33025</v>
      </c>
      <c r="C63" s="6" t="s">
        <v>9</v>
      </c>
      <c r="D63" s="7" t="s">
        <v>10</v>
      </c>
      <c r="E63" s="2" t="s">
        <v>146</v>
      </c>
    </row>
    <row r="64" spans="1:5" ht="48" customHeight="1">
      <c r="A64" s="14">
        <v>44062.34375</v>
      </c>
      <c r="B64" s="8">
        <v>46225</v>
      </c>
      <c r="C64" s="6" t="s">
        <v>9</v>
      </c>
      <c r="D64" s="7" t="s">
        <v>10</v>
      </c>
      <c r="E64" s="2" t="s">
        <v>147</v>
      </c>
    </row>
    <row r="65" spans="1:5" ht="27" customHeight="1">
      <c r="A65" s="14">
        <v>44062.375</v>
      </c>
      <c r="B65" s="5">
        <f>552.856*1000000/4046.8564224</f>
        <v>136613.69277641116</v>
      </c>
      <c r="C65" s="6" t="s">
        <v>126</v>
      </c>
      <c r="D65" s="7" t="s">
        <v>127</v>
      </c>
      <c r="E65" s="2"/>
    </row>
    <row r="66" spans="1:5" ht="27" customHeight="1">
      <c r="A66" s="14">
        <v>44062.416666666664</v>
      </c>
      <c r="B66" s="5">
        <f>666.133*1000000/4046.8564224</f>
        <v>164605.04907286723</v>
      </c>
      <c r="C66" s="6" t="s">
        <v>126</v>
      </c>
      <c r="D66" s="7" t="s">
        <v>127</v>
      </c>
      <c r="E66" s="2"/>
    </row>
    <row r="67" spans="1:5" ht="27" customHeight="1">
      <c r="A67" s="14">
        <v>44062.458333333336</v>
      </c>
      <c r="B67" s="5">
        <f>699.827*1000000/4046.8564224</f>
        <v>172931.01779602192</v>
      </c>
      <c r="C67" s="6" t="s">
        <v>126</v>
      </c>
      <c r="D67" s="7" t="s">
        <v>127</v>
      </c>
      <c r="E67" s="2"/>
    </row>
    <row r="68" spans="1:5" ht="62.05" customHeight="1">
      <c r="A68" s="16">
        <v>44062.5</v>
      </c>
      <c r="B68" s="5">
        <f>562.557672163564*1000000/4046.8564224</f>
        <v>139011.02817725801</v>
      </c>
      <c r="C68" s="6" t="s">
        <v>148</v>
      </c>
      <c r="D68" s="7" t="s">
        <v>132</v>
      </c>
      <c r="E68" s="2" t="s">
        <v>149</v>
      </c>
    </row>
    <row r="69" spans="1:5" ht="62.05" customHeight="1">
      <c r="A69" s="16">
        <v>44062.5</v>
      </c>
      <c r="B69" s="5">
        <f>58.3980946362836*1000000/4046.8564224</f>
        <v>14430.483452054481</v>
      </c>
      <c r="C69" s="6" t="s">
        <v>150</v>
      </c>
      <c r="D69" s="7" t="s">
        <v>132</v>
      </c>
      <c r="E69" s="2" t="s">
        <v>151</v>
      </c>
    </row>
    <row r="70" spans="1:5" ht="62.05" customHeight="1">
      <c r="A70" s="16">
        <v>44062.5</v>
      </c>
      <c r="B70" s="5">
        <f>11.0008558537047*1000000/4046.8564224</f>
        <v>2718.3706821949986</v>
      </c>
      <c r="C70" s="6" t="s">
        <v>152</v>
      </c>
      <c r="D70" s="7" t="s">
        <v>132</v>
      </c>
      <c r="E70" s="2" t="s">
        <v>153</v>
      </c>
    </row>
    <row r="71" spans="1:5" ht="27" customHeight="1">
      <c r="A71" s="14">
        <v>44062.5</v>
      </c>
      <c r="B71" s="5">
        <f>738.855*1000000/4046.8564224</f>
        <v>182575.04662392245</v>
      </c>
      <c r="C71" s="6" t="s">
        <v>126</v>
      </c>
      <c r="D71" s="7" t="s">
        <v>127</v>
      </c>
      <c r="E71" s="2"/>
    </row>
    <row r="72" spans="1:5" ht="27" customHeight="1">
      <c r="A72" s="14">
        <v>44062.541666666664</v>
      </c>
      <c r="B72" s="5">
        <f>784.926*1000000/4046.8564224</f>
        <v>193959.43865349621</v>
      </c>
      <c r="C72" s="6" t="s">
        <v>126</v>
      </c>
      <c r="D72" s="7" t="s">
        <v>127</v>
      </c>
      <c r="E72" s="2"/>
    </row>
    <row r="73" spans="1:5" ht="27" customHeight="1">
      <c r="A73" s="14">
        <v>44062.583333333336</v>
      </c>
      <c r="B73" s="5">
        <f>870.597*1000000/4046.8564224</f>
        <v>215129.20378916973</v>
      </c>
      <c r="C73" s="6" t="s">
        <v>126</v>
      </c>
      <c r="D73" s="7" t="s">
        <v>127</v>
      </c>
      <c r="E73" s="2"/>
    </row>
    <row r="74" spans="1:5" ht="27" customHeight="1">
      <c r="A74" s="14">
        <v>44062.625</v>
      </c>
      <c r="B74" s="5">
        <f>908.32*1000000/4046.8564224</f>
        <v>224450.76009425562</v>
      </c>
      <c r="C74" s="6" t="s">
        <v>126</v>
      </c>
      <c r="D74" s="7" t="s">
        <v>127</v>
      </c>
      <c r="E74" s="2"/>
    </row>
    <row r="75" spans="1:5" ht="27" customHeight="1">
      <c r="A75" s="14">
        <v>44062.666666666664</v>
      </c>
      <c r="B75" s="5">
        <f>937.719*1000000/4046.8564224</f>
        <v>231715.41120400882</v>
      </c>
      <c r="C75" s="6" t="s">
        <v>126</v>
      </c>
      <c r="D75" s="7" t="s">
        <v>127</v>
      </c>
      <c r="E75" s="2"/>
    </row>
    <row r="76" spans="1:5" ht="27" customHeight="1">
      <c r="A76" s="14">
        <v>44062.708333333336</v>
      </c>
      <c r="B76" s="5">
        <f>1003.581*1000000/4046.8564224</f>
        <v>247990.26583819927</v>
      </c>
      <c r="C76" s="6" t="s">
        <v>126</v>
      </c>
      <c r="D76" s="7" t="s">
        <v>127</v>
      </c>
      <c r="E76" s="2"/>
    </row>
    <row r="77" spans="1:5" ht="27" customHeight="1">
      <c r="A77" s="14">
        <v>44062.75</v>
      </c>
      <c r="B77" s="5">
        <f>1014.745*1000000/4046.8564224</f>
        <v>250748.9503168987</v>
      </c>
      <c r="C77" s="6" t="s">
        <v>126</v>
      </c>
      <c r="D77" s="7" t="s">
        <v>127</v>
      </c>
      <c r="E77" s="2"/>
    </row>
    <row r="78" spans="1:5" ht="27" customHeight="1">
      <c r="A78" s="14">
        <v>44062.791666666664</v>
      </c>
      <c r="B78" s="5">
        <f>1020.449*1000000/4046.8564224</f>
        <v>252158.43941278741</v>
      </c>
      <c r="C78" s="6" t="s">
        <v>126</v>
      </c>
      <c r="D78" s="7" t="s">
        <v>127</v>
      </c>
      <c r="E78" s="2"/>
    </row>
    <row r="79" spans="1:5" ht="48" customHeight="1">
      <c r="A79" s="14">
        <v>44062.8125</v>
      </c>
      <c r="B79" s="8">
        <v>124100</v>
      </c>
      <c r="C79" s="6" t="s">
        <v>9</v>
      </c>
      <c r="D79" s="7" t="s">
        <v>10</v>
      </c>
      <c r="E79" s="2" t="s">
        <v>154</v>
      </c>
    </row>
    <row r="80" spans="1:5" ht="27" customHeight="1">
      <c r="A80" s="14">
        <v>44062.833333333336</v>
      </c>
      <c r="B80" s="5">
        <f>1063.43*1000000/4046.8564224</f>
        <v>262779.27581362764</v>
      </c>
      <c r="C80" s="6" t="s">
        <v>126</v>
      </c>
      <c r="D80" s="7" t="s">
        <v>127</v>
      </c>
      <c r="E80" s="2"/>
    </row>
    <row r="81" spans="1:5" ht="27" customHeight="1">
      <c r="A81" s="14">
        <v>44062.875</v>
      </c>
      <c r="B81" s="5">
        <f>1077.836*1000000/4046.8564224</f>
        <v>266339.0759390436</v>
      </c>
      <c r="C81" s="6" t="s">
        <v>126</v>
      </c>
      <c r="D81" s="7" t="s">
        <v>127</v>
      </c>
      <c r="E81" s="2"/>
    </row>
    <row r="82" spans="1:5" ht="27" customHeight="1">
      <c r="A82" s="14">
        <v>44062.916666666664</v>
      </c>
      <c r="B82" s="5">
        <f>1092.75*1000000/4046.8564224</f>
        <v>270024.40559824492</v>
      </c>
      <c r="C82" s="6" t="s">
        <v>126</v>
      </c>
      <c r="D82" s="7" t="s">
        <v>127</v>
      </c>
      <c r="E82" s="2"/>
    </row>
    <row r="83" spans="1:5" ht="27" customHeight="1">
      <c r="A83" s="14">
        <v>44062.958333333336</v>
      </c>
      <c r="B83" s="5">
        <f>1102.617*1000000/4046.8564224</f>
        <v>272462.59439718141</v>
      </c>
      <c r="C83" s="6" t="s">
        <v>126</v>
      </c>
      <c r="D83" s="7" t="s">
        <v>127</v>
      </c>
      <c r="E83" s="2"/>
    </row>
    <row r="84" spans="1:5" ht="62.05" customHeight="1">
      <c r="A84" s="15">
        <v>44063</v>
      </c>
      <c r="B84" s="5">
        <f>745.057500147043*1000000/4046.8564224</f>
        <v>184107.71778880764</v>
      </c>
      <c r="C84" s="6" t="s">
        <v>155</v>
      </c>
      <c r="D84" s="7" t="s">
        <v>132</v>
      </c>
      <c r="E84" s="2" t="s">
        <v>156</v>
      </c>
    </row>
    <row r="85" spans="1:5" ht="62.05" customHeight="1">
      <c r="A85" s="15">
        <v>44063</v>
      </c>
      <c r="B85" s="5">
        <f>135.795328033381*1000000/4046.8564224</f>
        <v>33555.75633514746</v>
      </c>
      <c r="C85" s="6" t="s">
        <v>157</v>
      </c>
      <c r="D85" s="7" t="s">
        <v>132</v>
      </c>
      <c r="E85" s="2" t="s">
        <v>158</v>
      </c>
    </row>
    <row r="86" spans="1:5" ht="62.05" customHeight="1">
      <c r="A86" s="15">
        <v>44063</v>
      </c>
      <c r="B86" s="5">
        <f>11.5673552742839*1000000/4046.8564224</f>
        <v>2858.3557376181498</v>
      </c>
      <c r="C86" s="6" t="s">
        <v>159</v>
      </c>
      <c r="D86" s="7" t="s">
        <v>132</v>
      </c>
      <c r="E86" s="2" t="s">
        <v>160</v>
      </c>
    </row>
    <row r="87" spans="1:5" ht="27" customHeight="1">
      <c r="A87" s="14">
        <v>44063</v>
      </c>
      <c r="B87" s="5">
        <f>1114.568*1000000/4046.8564224</f>
        <v>275415.75081109552</v>
      </c>
      <c r="C87" s="6" t="s">
        <v>126</v>
      </c>
      <c r="D87" s="7" t="s">
        <v>127</v>
      </c>
      <c r="E87" s="2"/>
    </row>
    <row r="88" spans="1:5" ht="27" customHeight="1">
      <c r="A88" s="14">
        <v>44063.041666666664</v>
      </c>
      <c r="B88" s="5">
        <f>1118.824*1000000/4046.8564224</f>
        <v>276467.43131461978</v>
      </c>
      <c r="C88" s="6" t="s">
        <v>126</v>
      </c>
      <c r="D88" s="7" t="s">
        <v>127</v>
      </c>
      <c r="E88" s="2"/>
    </row>
    <row r="89" spans="1:5" ht="27" customHeight="1">
      <c r="A89" s="14">
        <v>44063.083333333336</v>
      </c>
      <c r="B89" s="5">
        <f>1128.591*1000000/4046.8564224</f>
        <v>278880.90957540961</v>
      </c>
      <c r="C89" s="6" t="s">
        <v>126</v>
      </c>
      <c r="D89" s="7" t="s">
        <v>127</v>
      </c>
      <c r="E89" s="2"/>
    </row>
    <row r="90" spans="1:5" ht="27" customHeight="1">
      <c r="A90" s="14">
        <v>44063.125</v>
      </c>
      <c r="B90" s="5">
        <f>1128.72*1000000/4046.8564224</f>
        <v>278912.78616961883</v>
      </c>
      <c r="C90" s="6" t="s">
        <v>126</v>
      </c>
      <c r="D90" s="7" t="s">
        <v>127</v>
      </c>
      <c r="E90" s="2"/>
    </row>
    <row r="91" spans="1:5" ht="27" customHeight="1">
      <c r="A91" s="14">
        <v>44063.166666666664</v>
      </c>
      <c r="B91" s="5">
        <f>1148.422*1000000/4046.8564224</f>
        <v>283781.25639528496</v>
      </c>
      <c r="C91" s="6" t="s">
        <v>126</v>
      </c>
      <c r="D91" s="7" t="s">
        <v>127</v>
      </c>
      <c r="E91" s="2"/>
    </row>
    <row r="92" spans="1:5" ht="27" customHeight="1">
      <c r="A92" s="14">
        <v>44063.208333333336</v>
      </c>
      <c r="B92" s="5">
        <f>1187.922*1000000/4046.8564224</f>
        <v>293541.91896323796</v>
      </c>
      <c r="C92" s="6" t="s">
        <v>126</v>
      </c>
      <c r="D92" s="7" t="s">
        <v>127</v>
      </c>
      <c r="E92" s="2"/>
    </row>
    <row r="93" spans="1:5" ht="27" customHeight="1">
      <c r="A93" s="14">
        <v>44063.25</v>
      </c>
      <c r="B93" s="5">
        <f>1188.012*1000000/4046.8564224</f>
        <v>293564.15844756999</v>
      </c>
      <c r="C93" s="6" t="s">
        <v>126</v>
      </c>
      <c r="D93" s="7" t="s">
        <v>127</v>
      </c>
      <c r="E93" s="2"/>
    </row>
    <row r="94" spans="1:5" ht="27" customHeight="1">
      <c r="A94" s="14">
        <v>44063.291666666664</v>
      </c>
      <c r="B94" s="5">
        <f>1197.447*1000000/4046.8564224</f>
        <v>295895.59772171272</v>
      </c>
      <c r="C94" s="6" t="s">
        <v>126</v>
      </c>
      <c r="D94" s="7" t="s">
        <v>127</v>
      </c>
      <c r="E94" s="2"/>
    </row>
    <row r="95" spans="1:5" ht="48" customHeight="1">
      <c r="A95" s="14">
        <v>44063.302083333336</v>
      </c>
      <c r="B95" s="8">
        <v>131000</v>
      </c>
      <c r="C95" s="6" t="s">
        <v>9</v>
      </c>
      <c r="D95" s="7" t="s">
        <v>10</v>
      </c>
      <c r="E95" s="2" t="s">
        <v>161</v>
      </c>
    </row>
    <row r="96" spans="1:5" ht="27" customHeight="1">
      <c r="A96" s="14">
        <v>44063.333333333336</v>
      </c>
      <c r="B96" s="5">
        <f>1198.863*1000000/4046.8564224</f>
        <v>296245.49894187023</v>
      </c>
      <c r="C96" s="6" t="s">
        <v>126</v>
      </c>
      <c r="D96" s="7" t="s">
        <v>127</v>
      </c>
      <c r="E96" s="2"/>
    </row>
    <row r="97" spans="1:5" ht="27" customHeight="1">
      <c r="A97" s="14">
        <v>44063.375</v>
      </c>
      <c r="B97" s="5">
        <f>1206.628*1000000/4046.8564224</f>
        <v>298164.2722289628</v>
      </c>
      <c r="C97" s="6" t="s">
        <v>126</v>
      </c>
      <c r="D97" s="7" t="s">
        <v>127</v>
      </c>
      <c r="E97" s="2"/>
    </row>
    <row r="98" spans="1:5" ht="27" customHeight="1">
      <c r="A98" s="14">
        <v>44063.416666666664</v>
      </c>
      <c r="B98" s="5">
        <f>1206.664*1000000/4046.8564224</f>
        <v>298173.16802269558</v>
      </c>
      <c r="C98" s="6" t="s">
        <v>126</v>
      </c>
      <c r="D98" s="7" t="s">
        <v>127</v>
      </c>
      <c r="E98" s="2"/>
    </row>
    <row r="99" spans="1:5" ht="27" customHeight="1">
      <c r="A99" s="14">
        <v>44063.458333333336</v>
      </c>
      <c r="B99" s="5">
        <f>1206.664*1000000/4046.8564224</f>
        <v>298173.16802269558</v>
      </c>
      <c r="C99" s="6" t="s">
        <v>126</v>
      </c>
      <c r="D99" s="7" t="s">
        <v>127</v>
      </c>
      <c r="E99" s="2"/>
    </row>
    <row r="100" spans="1:5" ht="62.05" customHeight="1">
      <c r="A100" s="16">
        <v>44063.5</v>
      </c>
      <c r="B100" s="5">
        <f>816.140031476793*1000000/4046.8564224</f>
        <v>201672.59380869725</v>
      </c>
      <c r="C100" s="6" t="s">
        <v>162</v>
      </c>
      <c r="D100" s="7" t="s">
        <v>132</v>
      </c>
      <c r="E100" s="2" t="s">
        <v>163</v>
      </c>
    </row>
    <row r="101" spans="1:5" ht="62.05" customHeight="1">
      <c r="A101" s="16">
        <v>44063.5</v>
      </c>
      <c r="B101" s="5">
        <f>151.125642202938*1000000/4046.8564224</f>
        <v>37343.959466027329</v>
      </c>
      <c r="C101" s="6" t="s">
        <v>164</v>
      </c>
      <c r="D101" s="7" t="s">
        <v>132</v>
      </c>
      <c r="E101" s="2" t="s">
        <v>165</v>
      </c>
    </row>
    <row r="102" spans="1:5" ht="62.05" customHeight="1">
      <c r="A102" s="16">
        <v>44063.5</v>
      </c>
      <c r="B102" s="5">
        <f>11.5673552742839*1000000/4046.8564224</f>
        <v>2858.3557376181498</v>
      </c>
      <c r="C102" s="6" t="s">
        <v>166</v>
      </c>
      <c r="D102" s="7" t="s">
        <v>132</v>
      </c>
      <c r="E102" s="2" t="s">
        <v>167</v>
      </c>
    </row>
    <row r="103" spans="1:5" ht="27" customHeight="1">
      <c r="A103" s="14">
        <v>44063.5</v>
      </c>
      <c r="B103" s="5">
        <f>1219.254*1000000/4046.8564224</f>
        <v>301284.22477536718</v>
      </c>
      <c r="C103" s="6" t="s">
        <v>126</v>
      </c>
      <c r="D103" s="7" t="s">
        <v>127</v>
      </c>
      <c r="E103" s="2"/>
    </row>
    <row r="104" spans="1:5" ht="27" customHeight="1">
      <c r="A104" s="14">
        <v>44063.541666666664</v>
      </c>
      <c r="B104" s="5">
        <f>1231.447*1000000/4046.8564224</f>
        <v>304297.18069159635</v>
      </c>
      <c r="C104" s="6" t="s">
        <v>126</v>
      </c>
      <c r="D104" s="7" t="s">
        <v>127</v>
      </c>
      <c r="E104" s="2"/>
    </row>
    <row r="105" spans="1:5" ht="27" customHeight="1">
      <c r="A105" s="14">
        <v>44063.583333333336</v>
      </c>
      <c r="B105" s="5">
        <f>1237.928*1000000/4046.8564224</f>
        <v>305898.67066888505</v>
      </c>
      <c r="C105" s="6" t="s">
        <v>126</v>
      </c>
      <c r="D105" s="7" t="s">
        <v>127</v>
      </c>
      <c r="E105" s="2"/>
    </row>
    <row r="106" spans="1:5" ht="27" customHeight="1">
      <c r="A106" s="14">
        <v>44063.625</v>
      </c>
      <c r="B106" s="5">
        <f>1259.842*1000000/4046.8564224</f>
        <v>311313.73799835652</v>
      </c>
      <c r="C106" s="6" t="s">
        <v>126</v>
      </c>
      <c r="D106" s="7" t="s">
        <v>127</v>
      </c>
      <c r="E106" s="2"/>
    </row>
    <row r="107" spans="1:5" ht="27" customHeight="1">
      <c r="A107" s="14">
        <v>44063.666666666664</v>
      </c>
      <c r="B107" s="5">
        <f>1288.881*1000000/4046.8564224</f>
        <v>318489.43117078149</v>
      </c>
      <c r="C107" s="6" t="s">
        <v>126</v>
      </c>
      <c r="D107" s="7" t="s">
        <v>127</v>
      </c>
      <c r="E107" s="2"/>
    </row>
    <row r="108" spans="1:5" ht="27" customHeight="1">
      <c r="A108" s="14">
        <v>44063.708333333336</v>
      </c>
      <c r="B108" s="5">
        <f>1291.177*1000000/4046.8564224</f>
        <v>319056.78512663016</v>
      </c>
      <c r="C108" s="6" t="s">
        <v>126</v>
      </c>
      <c r="D108" s="7" t="s">
        <v>127</v>
      </c>
      <c r="E108" s="2"/>
    </row>
    <row r="109" spans="1:5" ht="27" customHeight="1">
      <c r="A109" s="14">
        <v>44063.75</v>
      </c>
      <c r="B109" s="5">
        <f>1299.374*1000000/4046.8564224</f>
        <v>321082.30793851649</v>
      </c>
      <c r="C109" s="6" t="s">
        <v>126</v>
      </c>
      <c r="D109" s="7" t="s">
        <v>127</v>
      </c>
      <c r="E109" s="2"/>
    </row>
    <row r="110" spans="1:5" ht="48" customHeight="1">
      <c r="A110" s="14">
        <v>44063.78125</v>
      </c>
      <c r="B110" s="8">
        <v>215000</v>
      </c>
      <c r="C110" s="6" t="s">
        <v>9</v>
      </c>
      <c r="D110" s="7" t="s">
        <v>10</v>
      </c>
      <c r="E110" s="2" t="s">
        <v>168</v>
      </c>
    </row>
    <row r="111" spans="1:5" ht="27" customHeight="1">
      <c r="A111" s="14">
        <v>44063.791666666664</v>
      </c>
      <c r="B111" s="5">
        <f>1302.682*1000000/4046.8564224</f>
        <v>321899.7325404099</v>
      </c>
      <c r="C111" s="6" t="s">
        <v>126</v>
      </c>
      <c r="D111" s="7" t="s">
        <v>127</v>
      </c>
      <c r="E111" s="2"/>
    </row>
    <row r="112" spans="1:5" ht="27" customHeight="1">
      <c r="A112" s="14">
        <v>44063.833333333336</v>
      </c>
      <c r="B112" s="5">
        <f>1306.134*1000000/4046.8564224</f>
        <v>322752.74031723454</v>
      </c>
      <c r="C112" s="6" t="s">
        <v>126</v>
      </c>
      <c r="D112" s="7" t="s">
        <v>127</v>
      </c>
      <c r="E112" s="2"/>
    </row>
    <row r="113" spans="1:5" ht="48" customHeight="1">
      <c r="A113" s="14">
        <v>44063.854166666664</v>
      </c>
      <c r="B113" s="8">
        <v>215000</v>
      </c>
      <c r="C113" s="6" t="s">
        <v>9</v>
      </c>
      <c r="D113" s="7" t="s">
        <v>10</v>
      </c>
      <c r="E113" s="2" t="s">
        <v>168</v>
      </c>
    </row>
    <row r="114" spans="1:5" ht="27" customHeight="1">
      <c r="A114" s="14">
        <v>44063.875</v>
      </c>
      <c r="B114" s="5">
        <f>1306.134*1000000/4046.8564224</f>
        <v>322752.74031723454</v>
      </c>
      <c r="C114" s="6" t="s">
        <v>126</v>
      </c>
      <c r="D114" s="7" t="s">
        <v>127</v>
      </c>
      <c r="E114" s="2"/>
    </row>
    <row r="115" spans="1:5" ht="48" customHeight="1">
      <c r="A115" s="14">
        <v>44063.875</v>
      </c>
      <c r="B115" s="8">
        <v>215000</v>
      </c>
      <c r="C115" s="6" t="s">
        <v>9</v>
      </c>
      <c r="D115" s="7" t="s">
        <v>10</v>
      </c>
      <c r="E115" s="2" t="s">
        <v>168</v>
      </c>
    </row>
    <row r="116" spans="1:5" ht="27" customHeight="1">
      <c r="A116" s="14">
        <v>44063.916666666664</v>
      </c>
      <c r="B116" s="5">
        <f>1306.134*1000000/4046.8564224</f>
        <v>322752.74031723454</v>
      </c>
      <c r="C116" s="6" t="s">
        <v>126</v>
      </c>
      <c r="D116" s="7" t="s">
        <v>127</v>
      </c>
      <c r="E116" s="2"/>
    </row>
    <row r="117" spans="1:5" ht="27" customHeight="1">
      <c r="A117" s="14">
        <v>44063.958333333336</v>
      </c>
      <c r="B117" s="5">
        <f>1306.283*1000000/4046.8564224</f>
        <v>322789.55901907315</v>
      </c>
      <c r="C117" s="6" t="s">
        <v>126</v>
      </c>
      <c r="D117" s="7" t="s">
        <v>127</v>
      </c>
      <c r="E117" s="2"/>
    </row>
    <row r="118" spans="1:5" ht="62.05" customHeight="1">
      <c r="A118" s="15">
        <v>44064</v>
      </c>
      <c r="B118" s="5">
        <f>876.819294659364*1000000/4046.8564224</f>
        <v>216666.76628457298</v>
      </c>
      <c r="C118" s="6" t="s">
        <v>169</v>
      </c>
      <c r="D118" s="7" t="s">
        <v>132</v>
      </c>
      <c r="E118" s="2" t="s">
        <v>170</v>
      </c>
    </row>
    <row r="119" spans="1:5" ht="62.05" customHeight="1">
      <c r="A119" s="15">
        <v>44064</v>
      </c>
      <c r="B119" s="5">
        <f>180.865064628144*1000000/4046.8564224</f>
        <v>44692.730789021043</v>
      </c>
      <c r="C119" s="6" t="s">
        <v>171</v>
      </c>
      <c r="D119" s="7" t="s">
        <v>132</v>
      </c>
      <c r="E119" s="2" t="s">
        <v>172</v>
      </c>
    </row>
    <row r="120" spans="1:5" ht="62.05" customHeight="1">
      <c r="A120" s="15">
        <v>44064</v>
      </c>
      <c r="B120" s="5">
        <f>11.6954726382377*1000000/4046.8564224</f>
        <v>2890.0142277105215</v>
      </c>
      <c r="C120" s="6" t="s">
        <v>173</v>
      </c>
      <c r="D120" s="7" t="s">
        <v>132</v>
      </c>
      <c r="E120" s="2" t="s">
        <v>174</v>
      </c>
    </row>
    <row r="121" spans="1:5" ht="27" customHeight="1">
      <c r="A121" s="14">
        <v>44064</v>
      </c>
      <c r="B121" s="5">
        <f>1311.667*1000000/4046.8564224</f>
        <v>324119.97439289233</v>
      </c>
      <c r="C121" s="6" t="s">
        <v>126</v>
      </c>
      <c r="D121" s="7" t="s">
        <v>127</v>
      </c>
      <c r="E121" s="2"/>
    </row>
    <row r="122" spans="1:5" ht="27" customHeight="1">
      <c r="A122" s="14">
        <v>44064.041666666664</v>
      </c>
      <c r="B122" s="5">
        <f t="shared" ref="B122:B128" si="0">1311.782*1000000/4046.8564224</f>
        <v>324148.39151176106</v>
      </c>
      <c r="C122" s="6" t="s">
        <v>126</v>
      </c>
      <c r="D122" s="7" t="s">
        <v>127</v>
      </c>
      <c r="E122" s="2"/>
    </row>
    <row r="123" spans="1:5" ht="27" customHeight="1">
      <c r="A123" s="14">
        <v>44064.083333333336</v>
      </c>
      <c r="B123" s="5">
        <f t="shared" si="0"/>
        <v>324148.39151176106</v>
      </c>
      <c r="C123" s="6" t="s">
        <v>126</v>
      </c>
      <c r="D123" s="7" t="s">
        <v>127</v>
      </c>
      <c r="E123" s="2"/>
    </row>
    <row r="124" spans="1:5" ht="27" customHeight="1">
      <c r="A124" s="14">
        <v>44064.125</v>
      </c>
      <c r="B124" s="5">
        <f t="shared" si="0"/>
        <v>324148.39151176106</v>
      </c>
      <c r="C124" s="6" t="s">
        <v>126</v>
      </c>
      <c r="D124" s="7" t="s">
        <v>127</v>
      </c>
      <c r="E124" s="2"/>
    </row>
    <row r="125" spans="1:5" ht="27" customHeight="1">
      <c r="A125" s="14">
        <v>44064.166666666664</v>
      </c>
      <c r="B125" s="5">
        <f t="shared" si="0"/>
        <v>324148.39151176106</v>
      </c>
      <c r="C125" s="6" t="s">
        <v>126</v>
      </c>
      <c r="D125" s="7" t="s">
        <v>127</v>
      </c>
      <c r="E125" s="2"/>
    </row>
    <row r="126" spans="1:5" ht="27" customHeight="1">
      <c r="A126" s="14">
        <v>44064.208333333336</v>
      </c>
      <c r="B126" s="5">
        <f t="shared" si="0"/>
        <v>324148.39151176106</v>
      </c>
      <c r="C126" s="6" t="s">
        <v>126</v>
      </c>
      <c r="D126" s="7" t="s">
        <v>127</v>
      </c>
      <c r="E126" s="2"/>
    </row>
    <row r="127" spans="1:5" ht="27" customHeight="1">
      <c r="A127" s="14">
        <v>44064.25</v>
      </c>
      <c r="B127" s="5">
        <f t="shared" si="0"/>
        <v>324148.39151176106</v>
      </c>
      <c r="C127" s="6" t="s">
        <v>126</v>
      </c>
      <c r="D127" s="7" t="s">
        <v>127</v>
      </c>
      <c r="E127" s="2"/>
    </row>
    <row r="128" spans="1:5" ht="27" customHeight="1">
      <c r="A128" s="14">
        <v>44064.291666666664</v>
      </c>
      <c r="B128" s="5">
        <f t="shared" si="0"/>
        <v>324148.39151176106</v>
      </c>
      <c r="C128" s="6" t="s">
        <v>126</v>
      </c>
      <c r="D128" s="7" t="s">
        <v>127</v>
      </c>
      <c r="E128" s="2"/>
    </row>
    <row r="129" spans="1:5" ht="48" customHeight="1">
      <c r="A129" s="14">
        <v>44064.3125</v>
      </c>
      <c r="B129" s="8">
        <v>219067</v>
      </c>
      <c r="C129" s="6" t="s">
        <v>9</v>
      </c>
      <c r="D129" s="7" t="s">
        <v>10</v>
      </c>
      <c r="E129" s="2" t="s">
        <v>175</v>
      </c>
    </row>
    <row r="130" spans="1:5" ht="27" customHeight="1">
      <c r="A130" s="14">
        <v>44064.333333333336</v>
      </c>
      <c r="B130" s="5">
        <f>1311.782*1000000/4046.8564224</f>
        <v>324148.39151176106</v>
      </c>
      <c r="C130" s="6" t="s">
        <v>126</v>
      </c>
      <c r="D130" s="7" t="s">
        <v>127</v>
      </c>
      <c r="E130" s="2"/>
    </row>
    <row r="131" spans="1:5" ht="27" customHeight="1">
      <c r="A131" s="14">
        <v>44064.375</v>
      </c>
      <c r="B131" s="5">
        <f>1311.782*1000000/4046.8564224</f>
        <v>324148.39151176106</v>
      </c>
      <c r="C131" s="6" t="s">
        <v>126</v>
      </c>
      <c r="D131" s="7" t="s">
        <v>127</v>
      </c>
      <c r="E131" s="2"/>
    </row>
    <row r="132" spans="1:5" ht="27" customHeight="1">
      <c r="A132" s="14">
        <v>44064.416666666664</v>
      </c>
      <c r="B132" s="5">
        <f>1311.782*1000000/4046.8564224</f>
        <v>324148.39151176106</v>
      </c>
      <c r="C132" s="6" t="s">
        <v>126</v>
      </c>
      <c r="D132" s="7" t="s">
        <v>127</v>
      </c>
      <c r="E132" s="2"/>
    </row>
    <row r="133" spans="1:5" ht="27" customHeight="1">
      <c r="A133" s="14">
        <v>44064.458333333336</v>
      </c>
      <c r="B133" s="5">
        <f>1311.782*1000000/4046.8564224</f>
        <v>324148.39151176106</v>
      </c>
      <c r="C133" s="6" t="s">
        <v>126</v>
      </c>
      <c r="D133" s="7" t="s">
        <v>127</v>
      </c>
      <c r="E133" s="2"/>
    </row>
    <row r="134" spans="1:5" ht="62.05" customHeight="1">
      <c r="A134" s="16">
        <v>44064.5</v>
      </c>
      <c r="B134" s="5">
        <f>902.121705515446*1000000/4046.8564224</f>
        <v>222919.12817120409</v>
      </c>
      <c r="C134" s="6" t="s">
        <v>176</v>
      </c>
      <c r="D134" s="7" t="s">
        <v>132</v>
      </c>
      <c r="E134" s="2" t="s">
        <v>177</v>
      </c>
    </row>
    <row r="135" spans="1:5" ht="62.05" customHeight="1">
      <c r="A135" s="16">
        <v>44064.5</v>
      </c>
      <c r="B135" s="5">
        <f>197.565743944498*1000000/4046.8564224</f>
        <v>48819.558522249485</v>
      </c>
      <c r="C135" s="6" t="s">
        <v>178</v>
      </c>
      <c r="D135" s="7" t="s">
        <v>132</v>
      </c>
      <c r="E135" s="2" t="s">
        <v>179</v>
      </c>
    </row>
    <row r="136" spans="1:5" ht="62.05" customHeight="1">
      <c r="A136" s="16">
        <v>44064.5</v>
      </c>
      <c r="B136" s="5">
        <f>11.6954726382377*1000000/4046.8564224</f>
        <v>2890.0142277105215</v>
      </c>
      <c r="C136" s="6" t="s">
        <v>180</v>
      </c>
      <c r="D136" s="7" t="s">
        <v>132</v>
      </c>
      <c r="E136" s="2" t="s">
        <v>181</v>
      </c>
    </row>
    <row r="137" spans="1:5" ht="27" customHeight="1">
      <c r="A137" s="14">
        <v>44064.5</v>
      </c>
      <c r="B137" s="5">
        <f>1311.782*1000000/4046.8564224</f>
        <v>324148.39151176106</v>
      </c>
      <c r="C137" s="6" t="s">
        <v>126</v>
      </c>
      <c r="D137" s="7" t="s">
        <v>127</v>
      </c>
      <c r="E137" s="2"/>
    </row>
    <row r="138" spans="1:5" ht="27" customHeight="1">
      <c r="A138" s="14">
        <v>44064.541666666664</v>
      </c>
      <c r="B138" s="5">
        <f>1316.655*1000000/4046.8564224</f>
        <v>325352.53603565058</v>
      </c>
      <c r="C138" s="6" t="s">
        <v>126</v>
      </c>
      <c r="D138" s="7" t="s">
        <v>127</v>
      </c>
      <c r="E138" s="2"/>
    </row>
    <row r="139" spans="1:5" ht="27" customHeight="1">
      <c r="A139" s="14">
        <v>44064.583333333336</v>
      </c>
      <c r="B139" s="5">
        <f>1333.942*1000000/4046.8564224</f>
        <v>329624.24676507345</v>
      </c>
      <c r="C139" s="6" t="s">
        <v>126</v>
      </c>
      <c r="D139" s="7" t="s">
        <v>127</v>
      </c>
      <c r="E139" s="2"/>
    </row>
    <row r="140" spans="1:5" ht="27" customHeight="1">
      <c r="A140" s="14">
        <v>44064.625</v>
      </c>
      <c r="B140" s="5">
        <f>1333.946*1000000/4046.8564224</f>
        <v>329625.23518659931</v>
      </c>
      <c r="C140" s="6" t="s">
        <v>126</v>
      </c>
      <c r="D140" s="7" t="s">
        <v>127</v>
      </c>
      <c r="E140" s="2"/>
    </row>
    <row r="141" spans="1:5" ht="27" customHeight="1">
      <c r="A141" s="14">
        <v>44064.666666666664</v>
      </c>
      <c r="B141" s="5">
        <f>1336.811*1000000/4046.8564224</f>
        <v>330333.19210450276</v>
      </c>
      <c r="C141" s="6" t="s">
        <v>126</v>
      </c>
      <c r="D141" s="7" t="s">
        <v>127</v>
      </c>
      <c r="E141" s="2"/>
    </row>
    <row r="142" spans="1:5" ht="27" customHeight="1">
      <c r="A142" s="14">
        <v>44064.708333333336</v>
      </c>
      <c r="B142" s="5">
        <f>1339.823*1000000/4046.8564224</f>
        <v>331077.47351348185</v>
      </c>
      <c r="C142" s="6" t="s">
        <v>126</v>
      </c>
      <c r="D142" s="7" t="s">
        <v>127</v>
      </c>
      <c r="E142" s="2"/>
    </row>
    <row r="143" spans="1:5" ht="27" customHeight="1">
      <c r="A143" s="14">
        <v>44064.75</v>
      </c>
      <c r="B143" s="5">
        <f>1358.233*1000000/4046.8564224</f>
        <v>335626.68358629238</v>
      </c>
      <c r="C143" s="6" t="s">
        <v>126</v>
      </c>
      <c r="D143" s="7" t="s">
        <v>127</v>
      </c>
      <c r="E143" s="2"/>
    </row>
    <row r="144" spans="1:5" ht="27" customHeight="1">
      <c r="A144" s="14">
        <v>44064.791666666664</v>
      </c>
      <c r="B144" s="5">
        <f>1358.282*1000000/4046.8564224</f>
        <v>335638.79174998426</v>
      </c>
      <c r="C144" s="6" t="s">
        <v>126</v>
      </c>
      <c r="D144" s="7" t="s">
        <v>127</v>
      </c>
      <c r="E144" s="2"/>
    </row>
    <row r="145" spans="1:5" ht="48" customHeight="1">
      <c r="A145" s="14">
        <v>44064.791666666664</v>
      </c>
      <c r="B145" s="8">
        <v>302388</v>
      </c>
      <c r="C145" s="6" t="s">
        <v>9</v>
      </c>
      <c r="D145" s="7" t="s">
        <v>10</v>
      </c>
      <c r="E145" s="2" t="s">
        <v>182</v>
      </c>
    </row>
    <row r="146" spans="1:5" ht="27" customHeight="1">
      <c r="A146" s="14">
        <v>44064.833333333336</v>
      </c>
      <c r="B146" s="5">
        <f>1363.33*1000000/4046.8564224</f>
        <v>336886.17971563054</v>
      </c>
      <c r="C146" s="6" t="s">
        <v>126</v>
      </c>
      <c r="D146" s="7" t="s">
        <v>127</v>
      </c>
      <c r="E146" s="2"/>
    </row>
    <row r="147" spans="1:5" ht="27" customHeight="1">
      <c r="A147" s="14">
        <v>44064.875</v>
      </c>
      <c r="B147" s="5">
        <f>1363.354*1000000/4046.8564224</f>
        <v>336892.11024478573</v>
      </c>
      <c r="C147" s="6" t="s">
        <v>126</v>
      </c>
      <c r="D147" s="7" t="s">
        <v>127</v>
      </c>
      <c r="E147" s="2"/>
    </row>
    <row r="148" spans="1:5" ht="27" customHeight="1">
      <c r="A148" s="14">
        <v>44064.916666666664</v>
      </c>
      <c r="B148" s="5">
        <f>1364.517*1000000/4046.8564224</f>
        <v>337179.49380343204</v>
      </c>
      <c r="C148" s="6" t="s">
        <v>126</v>
      </c>
      <c r="D148" s="7" t="s">
        <v>127</v>
      </c>
      <c r="E148" s="2"/>
    </row>
    <row r="149" spans="1:5" ht="27" customHeight="1">
      <c r="A149" s="14">
        <v>44064.958333333336</v>
      </c>
      <c r="B149" s="5">
        <f>1364.517*1000000/4046.8564224</f>
        <v>337179.49380343204</v>
      </c>
      <c r="C149" s="6" t="s">
        <v>126</v>
      </c>
      <c r="D149" s="7" t="s">
        <v>127</v>
      </c>
      <c r="E149" s="2"/>
    </row>
    <row r="150" spans="1:5" ht="62.05" customHeight="1">
      <c r="A150" s="15">
        <v>44065</v>
      </c>
      <c r="B150" s="5">
        <f>1143.54354718064*1000000/4046.8564224</f>
        <v>282575.76445038745</v>
      </c>
      <c r="C150" s="6" t="s">
        <v>183</v>
      </c>
      <c r="D150" s="7" t="s">
        <v>132</v>
      </c>
      <c r="E150" s="2" t="s">
        <v>184</v>
      </c>
    </row>
    <row r="151" spans="1:5" ht="62.05" customHeight="1">
      <c r="A151" s="15">
        <v>44065</v>
      </c>
      <c r="B151" s="5">
        <f>204.108868944404*1000000/4046.8564224</f>
        <v>50436.399921338605</v>
      </c>
      <c r="C151" s="6" t="s">
        <v>185</v>
      </c>
      <c r="D151" s="7" t="s">
        <v>132</v>
      </c>
      <c r="E151" s="2" t="s">
        <v>186</v>
      </c>
    </row>
    <row r="152" spans="1:5" ht="62.05" customHeight="1">
      <c r="A152" s="15">
        <v>44065</v>
      </c>
      <c r="B152" s="5">
        <f>11.7394275989163*1000000/4046.8564224</f>
        <v>2900.8757350363817</v>
      </c>
      <c r="C152" s="6" t="s">
        <v>187</v>
      </c>
      <c r="D152" s="7" t="s">
        <v>132</v>
      </c>
      <c r="E152" s="2" t="s">
        <v>188</v>
      </c>
    </row>
    <row r="153" spans="1:5" ht="27" customHeight="1">
      <c r="A153" s="14">
        <v>44065</v>
      </c>
      <c r="B153" s="5">
        <f t="shared" ref="B153:B159" si="1">1364.56*1000000/4046.8564224</f>
        <v>337190.11933483515</v>
      </c>
      <c r="C153" s="6" t="s">
        <v>126</v>
      </c>
      <c r="D153" s="7" t="s">
        <v>127</v>
      </c>
      <c r="E153" s="2"/>
    </row>
    <row r="154" spans="1:5" ht="27" customHeight="1">
      <c r="A154" s="14">
        <v>44065.041666666664</v>
      </c>
      <c r="B154" s="5">
        <f t="shared" si="1"/>
        <v>337190.11933483515</v>
      </c>
      <c r="C154" s="6" t="s">
        <v>126</v>
      </c>
      <c r="D154" s="7" t="s">
        <v>127</v>
      </c>
      <c r="E154" s="2"/>
    </row>
    <row r="155" spans="1:5" ht="27" customHeight="1">
      <c r="A155" s="14">
        <v>44065.083333333336</v>
      </c>
      <c r="B155" s="5">
        <f t="shared" si="1"/>
        <v>337190.11933483515</v>
      </c>
      <c r="C155" s="6" t="s">
        <v>126</v>
      </c>
      <c r="D155" s="7" t="s">
        <v>127</v>
      </c>
      <c r="E155" s="2"/>
    </row>
    <row r="156" spans="1:5" ht="27" customHeight="1">
      <c r="A156" s="14">
        <v>44065.125</v>
      </c>
      <c r="B156" s="5">
        <f t="shared" si="1"/>
        <v>337190.11933483515</v>
      </c>
      <c r="C156" s="6" t="s">
        <v>126</v>
      </c>
      <c r="D156" s="7" t="s">
        <v>127</v>
      </c>
      <c r="E156" s="2"/>
    </row>
    <row r="157" spans="1:5" ht="27" customHeight="1">
      <c r="A157" s="14">
        <v>44065.166666666664</v>
      </c>
      <c r="B157" s="5">
        <f t="shared" si="1"/>
        <v>337190.11933483515</v>
      </c>
      <c r="C157" s="6" t="s">
        <v>126</v>
      </c>
      <c r="D157" s="7" t="s">
        <v>127</v>
      </c>
      <c r="E157" s="2"/>
    </row>
    <row r="158" spans="1:5" ht="27" customHeight="1">
      <c r="A158" s="14">
        <v>44065.208333333336</v>
      </c>
      <c r="B158" s="5">
        <f t="shared" si="1"/>
        <v>337190.11933483515</v>
      </c>
      <c r="C158" s="6" t="s">
        <v>126</v>
      </c>
      <c r="D158" s="7" t="s">
        <v>127</v>
      </c>
      <c r="E158" s="2"/>
    </row>
    <row r="159" spans="1:5" ht="27" customHeight="1">
      <c r="A159" s="14">
        <v>44065.25</v>
      </c>
      <c r="B159" s="5">
        <f t="shared" si="1"/>
        <v>337190.11933483515</v>
      </c>
      <c r="C159" s="6" t="s">
        <v>126</v>
      </c>
      <c r="D159" s="7" t="s">
        <v>127</v>
      </c>
      <c r="E159" s="2"/>
    </row>
    <row r="160" spans="1:5" ht="27" customHeight="1">
      <c r="A160" s="14">
        <v>44065.291666666664</v>
      </c>
      <c r="B160" s="5">
        <f>1364.584*1000000/4046.8564224</f>
        <v>337196.04986399034</v>
      </c>
      <c r="C160" s="6" t="s">
        <v>126</v>
      </c>
      <c r="D160" s="7" t="s">
        <v>127</v>
      </c>
      <c r="E160" s="2"/>
    </row>
    <row r="161" spans="1:5" ht="27" customHeight="1">
      <c r="A161" s="14">
        <v>44065.333333333336</v>
      </c>
      <c r="B161" s="5">
        <f>1364.584*1000000/4046.8564224</f>
        <v>337196.04986399034</v>
      </c>
      <c r="C161" s="6" t="s">
        <v>126</v>
      </c>
      <c r="D161" s="7" t="s">
        <v>127</v>
      </c>
      <c r="E161" s="2"/>
    </row>
    <row r="162" spans="1:5" ht="48" customHeight="1">
      <c r="A162" s="14">
        <v>44065.333333333336</v>
      </c>
      <c r="B162" s="8">
        <v>314207</v>
      </c>
      <c r="C162" s="6" t="s">
        <v>9</v>
      </c>
      <c r="D162" s="7" t="s">
        <v>10</v>
      </c>
      <c r="E162" s="2" t="s">
        <v>189</v>
      </c>
    </row>
    <row r="163" spans="1:5" ht="27" customHeight="1">
      <c r="A163" s="14">
        <v>44065.375</v>
      </c>
      <c r="B163" s="5">
        <f>1364.584*1000000/4046.8564224</f>
        <v>337196.04986399034</v>
      </c>
      <c r="C163" s="6" t="s">
        <v>126</v>
      </c>
      <c r="D163" s="7" t="s">
        <v>127</v>
      </c>
      <c r="E163" s="2"/>
    </row>
    <row r="164" spans="1:5" ht="27" customHeight="1">
      <c r="A164" s="14">
        <v>44065.416666666664</v>
      </c>
      <c r="B164" s="5">
        <f>1364.584*1000000/4046.8564224</f>
        <v>337196.04986399034</v>
      </c>
      <c r="C164" s="6" t="s">
        <v>126</v>
      </c>
      <c r="D164" s="7" t="s">
        <v>127</v>
      </c>
      <c r="E164" s="2"/>
    </row>
    <row r="165" spans="1:5" ht="27" customHeight="1">
      <c r="A165" s="14">
        <v>44065.458333333336</v>
      </c>
      <c r="B165" s="5">
        <f>1364.584*1000000/4046.8564224</f>
        <v>337196.04986399034</v>
      </c>
      <c r="C165" s="6" t="s">
        <v>126</v>
      </c>
      <c r="D165" s="7" t="s">
        <v>127</v>
      </c>
      <c r="E165" s="2"/>
    </row>
    <row r="166" spans="1:5" ht="62.05" customHeight="1">
      <c r="A166" s="16">
        <v>44065.5</v>
      </c>
      <c r="B166" s="5">
        <f>1149.65283851075*1000000/4046.8564224</f>
        <v>284085.40321500826</v>
      </c>
      <c r="C166" s="6" t="s">
        <v>190</v>
      </c>
      <c r="D166" s="7" t="s">
        <v>132</v>
      </c>
      <c r="E166" s="2" t="s">
        <v>191</v>
      </c>
    </row>
    <row r="167" spans="1:5" ht="62.05" customHeight="1">
      <c r="A167" s="16">
        <v>44065.5</v>
      </c>
      <c r="B167" s="5">
        <f>205.845594897168*1000000/4046.8564224</f>
        <v>50865.554250400281</v>
      </c>
      <c r="C167" s="6" t="s">
        <v>192</v>
      </c>
      <c r="D167" s="7" t="s">
        <v>132</v>
      </c>
      <c r="E167" s="2" t="s">
        <v>193</v>
      </c>
    </row>
    <row r="168" spans="1:5" ht="27" customHeight="1">
      <c r="A168" s="14">
        <v>44065.5</v>
      </c>
      <c r="B168" s="5">
        <f>1364.584*1000000/4046.8564224</f>
        <v>337196.04986399034</v>
      </c>
      <c r="C168" s="6" t="s">
        <v>126</v>
      </c>
      <c r="D168" s="7" t="s">
        <v>127</v>
      </c>
      <c r="E168" s="2"/>
    </row>
    <row r="169" spans="1:5" ht="27" customHeight="1">
      <c r="A169" s="14">
        <v>44065.541666666664</v>
      </c>
      <c r="B169" s="5">
        <f>1364.671*1000000/4046.8564224</f>
        <v>337217.54803217796</v>
      </c>
      <c r="C169" s="6" t="s">
        <v>126</v>
      </c>
      <c r="D169" s="7" t="s">
        <v>127</v>
      </c>
      <c r="E169" s="2"/>
    </row>
    <row r="170" spans="1:5" ht="27" customHeight="1">
      <c r="A170" s="14">
        <v>44065.583333333336</v>
      </c>
      <c r="B170" s="5">
        <f>1390.788*1000000/4046.8564224</f>
        <v>343671.19927995594</v>
      </c>
      <c r="C170" s="6" t="s">
        <v>126</v>
      </c>
      <c r="D170" s="7" t="s">
        <v>127</v>
      </c>
      <c r="E170" s="2"/>
    </row>
    <row r="171" spans="1:5" ht="27" customHeight="1">
      <c r="A171" s="14">
        <v>44065.625</v>
      </c>
      <c r="B171" s="5">
        <f>1390.788*1000000/4046.8564224</f>
        <v>343671.19927995594</v>
      </c>
      <c r="C171" s="6" t="s">
        <v>126</v>
      </c>
      <c r="D171" s="7" t="s">
        <v>127</v>
      </c>
      <c r="E171" s="2"/>
    </row>
    <row r="172" spans="1:5" ht="27" customHeight="1">
      <c r="A172" s="14">
        <v>44065.666666666664</v>
      </c>
      <c r="B172" s="5">
        <f>1390.801*1000000/4046.8564224</f>
        <v>343674.41164991504</v>
      </c>
      <c r="C172" s="6" t="s">
        <v>126</v>
      </c>
      <c r="D172" s="7" t="s">
        <v>127</v>
      </c>
      <c r="E172" s="2"/>
    </row>
    <row r="173" spans="1:5" ht="27" customHeight="1">
      <c r="A173" s="14">
        <v>44065.708333333336</v>
      </c>
      <c r="B173" s="5">
        <f>1390.828*1000000/4046.8564224</f>
        <v>343681.08349521464</v>
      </c>
      <c r="C173" s="6" t="s">
        <v>126</v>
      </c>
      <c r="D173" s="7" t="s">
        <v>127</v>
      </c>
      <c r="E173" s="2"/>
    </row>
    <row r="174" spans="1:5" ht="27" customHeight="1">
      <c r="A174" s="14">
        <v>44065.75</v>
      </c>
      <c r="B174" s="5">
        <f>1392.609*1000000/4046.8564224</f>
        <v>344121.17817960767</v>
      </c>
      <c r="C174" s="6" t="s">
        <v>126</v>
      </c>
      <c r="D174" s="7" t="s">
        <v>127</v>
      </c>
      <c r="E174" s="2"/>
    </row>
    <row r="175" spans="1:5" ht="27" customHeight="1">
      <c r="A175" s="14">
        <v>44065.791666666664</v>
      </c>
      <c r="B175" s="5">
        <f>1392.609*1000000/4046.8564224</f>
        <v>344121.17817960767</v>
      </c>
      <c r="C175" s="6" t="s">
        <v>126</v>
      </c>
      <c r="D175" s="7" t="s">
        <v>127</v>
      </c>
      <c r="E175" s="2"/>
    </row>
    <row r="176" spans="1:5" ht="48" customHeight="1">
      <c r="A176" s="14">
        <v>44065.8125</v>
      </c>
      <c r="B176" s="8">
        <v>325128</v>
      </c>
      <c r="C176" s="6" t="s">
        <v>9</v>
      </c>
      <c r="D176" s="7" t="s">
        <v>10</v>
      </c>
      <c r="E176" s="2" t="s">
        <v>194</v>
      </c>
    </row>
    <row r="177" spans="1:5" ht="27" customHeight="1">
      <c r="A177" s="14">
        <v>44065.833333333336</v>
      </c>
      <c r="B177" s="5">
        <f>1392.624*1000000/4046.8564224</f>
        <v>344124.88476032967</v>
      </c>
      <c r="C177" s="6" t="s">
        <v>126</v>
      </c>
      <c r="D177" s="7" t="s">
        <v>127</v>
      </c>
      <c r="E177" s="2"/>
    </row>
    <row r="178" spans="1:5" ht="27" customHeight="1">
      <c r="A178" s="14">
        <v>44065.875</v>
      </c>
      <c r="B178" s="5">
        <f>1392.624*1000000/4046.8564224</f>
        <v>344124.88476032967</v>
      </c>
      <c r="C178" s="6" t="s">
        <v>126</v>
      </c>
      <c r="D178" s="7" t="s">
        <v>127</v>
      </c>
      <c r="E178" s="2"/>
    </row>
    <row r="179" spans="1:5" ht="27" customHeight="1">
      <c r="A179" s="14">
        <v>44065.916666666664</v>
      </c>
      <c r="B179" s="5">
        <f>1393.579*1000000/4046.8564224</f>
        <v>344360.8703996308</v>
      </c>
      <c r="C179" s="6" t="s">
        <v>126</v>
      </c>
      <c r="D179" s="7" t="s">
        <v>127</v>
      </c>
      <c r="E179" s="2"/>
    </row>
    <row r="180" spans="1:5" ht="27" customHeight="1">
      <c r="A180" s="14">
        <v>44065.958333333336</v>
      </c>
      <c r="B180" s="5">
        <f>1393.584*1000000/4046.8564224</f>
        <v>344362.10592653812</v>
      </c>
      <c r="C180" s="6" t="s">
        <v>126</v>
      </c>
      <c r="D180" s="7" t="s">
        <v>127</v>
      </c>
      <c r="E180" s="2"/>
    </row>
    <row r="181" spans="1:5" ht="62.05" customHeight="1">
      <c r="A181" s="15">
        <v>44066</v>
      </c>
      <c r="B181" s="5">
        <f>1166.17119379768*1000000/4046.8564224</f>
        <v>288167.17769939528</v>
      </c>
      <c r="C181" s="6" t="s">
        <v>195</v>
      </c>
      <c r="D181" s="7" t="s">
        <v>132</v>
      </c>
      <c r="E181" s="2" t="s">
        <v>196</v>
      </c>
    </row>
    <row r="182" spans="1:5" ht="62.05" customHeight="1">
      <c r="A182" s="15">
        <v>44066</v>
      </c>
      <c r="B182" s="5">
        <f>211.03380153854*1000000/4046.8564224</f>
        <v>52147.588031646985</v>
      </c>
      <c r="C182" s="6" t="s">
        <v>197</v>
      </c>
      <c r="D182" s="7" t="s">
        <v>132</v>
      </c>
      <c r="E182" s="2" t="s">
        <v>198</v>
      </c>
    </row>
    <row r="183" spans="1:5" ht="27" customHeight="1">
      <c r="A183" s="14">
        <v>44066</v>
      </c>
      <c r="B183" s="5">
        <f t="shared" ref="B183:B190" si="2">1393.584*1000000/4046.8564224</f>
        <v>344362.10592653812</v>
      </c>
      <c r="C183" s="6" t="s">
        <v>126</v>
      </c>
      <c r="D183" s="7" t="s">
        <v>127</v>
      </c>
      <c r="E183" s="2"/>
    </row>
    <row r="184" spans="1:5" ht="27" customHeight="1">
      <c r="A184" s="14">
        <v>44066.041666666664</v>
      </c>
      <c r="B184" s="5">
        <f t="shared" si="2"/>
        <v>344362.10592653812</v>
      </c>
      <c r="C184" s="6" t="s">
        <v>126</v>
      </c>
      <c r="D184" s="7" t="s">
        <v>127</v>
      </c>
      <c r="E184" s="2"/>
    </row>
    <row r="185" spans="1:5" ht="27" customHeight="1">
      <c r="A185" s="14">
        <v>44066.083333333336</v>
      </c>
      <c r="B185" s="5">
        <f t="shared" si="2"/>
        <v>344362.10592653812</v>
      </c>
      <c r="C185" s="6" t="s">
        <v>126</v>
      </c>
      <c r="D185" s="7" t="s">
        <v>127</v>
      </c>
      <c r="E185" s="2"/>
    </row>
    <row r="186" spans="1:5" ht="27" customHeight="1">
      <c r="A186" s="14">
        <v>44066.125</v>
      </c>
      <c r="B186" s="5">
        <f t="shared" si="2"/>
        <v>344362.10592653812</v>
      </c>
      <c r="C186" s="6" t="s">
        <v>126</v>
      </c>
      <c r="D186" s="7" t="s">
        <v>127</v>
      </c>
      <c r="E186" s="2"/>
    </row>
    <row r="187" spans="1:5" ht="27" customHeight="1">
      <c r="A187" s="14">
        <v>44066.166666666664</v>
      </c>
      <c r="B187" s="5">
        <f t="shared" si="2"/>
        <v>344362.10592653812</v>
      </c>
      <c r="C187" s="6" t="s">
        <v>126</v>
      </c>
      <c r="D187" s="7" t="s">
        <v>127</v>
      </c>
      <c r="E187" s="2"/>
    </row>
    <row r="188" spans="1:5" ht="27" customHeight="1">
      <c r="A188" s="14">
        <v>44066.208333333336</v>
      </c>
      <c r="B188" s="5">
        <f t="shared" si="2"/>
        <v>344362.10592653812</v>
      </c>
      <c r="C188" s="6" t="s">
        <v>126</v>
      </c>
      <c r="D188" s="7" t="s">
        <v>127</v>
      </c>
      <c r="E188" s="2"/>
    </row>
    <row r="189" spans="1:5" ht="27" customHeight="1">
      <c r="A189" s="14">
        <v>44066.25</v>
      </c>
      <c r="B189" s="5">
        <f t="shared" si="2"/>
        <v>344362.10592653812</v>
      </c>
      <c r="C189" s="6" t="s">
        <v>126</v>
      </c>
      <c r="D189" s="7" t="s">
        <v>127</v>
      </c>
      <c r="E189" s="2"/>
    </row>
    <row r="190" spans="1:5" ht="27" customHeight="1">
      <c r="A190" s="14">
        <v>44066.291666666664</v>
      </c>
      <c r="B190" s="5">
        <f t="shared" si="2"/>
        <v>344362.10592653812</v>
      </c>
      <c r="C190" s="6" t="s">
        <v>126</v>
      </c>
      <c r="D190" s="7" t="s">
        <v>127</v>
      </c>
      <c r="E190" s="2"/>
    </row>
    <row r="191" spans="1:5" ht="48" customHeight="1">
      <c r="A191" s="14">
        <v>44066.302083333336</v>
      </c>
      <c r="B191" s="8">
        <v>341243</v>
      </c>
      <c r="C191" s="6" t="s">
        <v>9</v>
      </c>
      <c r="D191" s="7" t="s">
        <v>10</v>
      </c>
      <c r="E191" s="2" t="s">
        <v>199</v>
      </c>
    </row>
    <row r="192" spans="1:5" ht="27" customHeight="1">
      <c r="A192" s="14">
        <v>44066.333333333336</v>
      </c>
      <c r="B192" s="5">
        <f>1393.584*1000000/4046.8564224</f>
        <v>344362.10592653812</v>
      </c>
      <c r="C192" s="6" t="s">
        <v>126</v>
      </c>
      <c r="D192" s="7" t="s">
        <v>127</v>
      </c>
      <c r="E192" s="2"/>
    </row>
    <row r="193" spans="1:5" ht="27" customHeight="1">
      <c r="A193" s="14">
        <v>44066.375</v>
      </c>
      <c r="B193" s="5">
        <f>1393.584*1000000/4046.8564224</f>
        <v>344362.10592653812</v>
      </c>
      <c r="C193" s="6" t="s">
        <v>126</v>
      </c>
      <c r="D193" s="7" t="s">
        <v>127</v>
      </c>
      <c r="E193" s="2"/>
    </row>
    <row r="194" spans="1:5" ht="27" customHeight="1">
      <c r="A194" s="14">
        <v>44066.416666666664</v>
      </c>
      <c r="B194" s="5">
        <f>1393.584*1000000/4046.8564224</f>
        <v>344362.10592653812</v>
      </c>
      <c r="C194" s="6" t="s">
        <v>126</v>
      </c>
      <c r="D194" s="7" t="s">
        <v>127</v>
      </c>
      <c r="E194" s="2"/>
    </row>
    <row r="195" spans="1:5" ht="27" customHeight="1">
      <c r="A195" s="14">
        <v>44066.458333333336</v>
      </c>
      <c r="B195" s="5">
        <f>1403.026*1000000/4046.8564224</f>
        <v>346695.27493835113</v>
      </c>
      <c r="C195" s="6" t="s">
        <v>126</v>
      </c>
      <c r="D195" s="7" t="s">
        <v>127</v>
      </c>
      <c r="E195" s="2"/>
    </row>
    <row r="196" spans="1:5" ht="62.05" customHeight="1">
      <c r="A196" s="16">
        <v>44066.5</v>
      </c>
      <c r="B196" s="5">
        <f>1197.48714421902*1000000/4046.8564224</f>
        <v>295905.51757426735</v>
      </c>
      <c r="C196" s="6" t="s">
        <v>200</v>
      </c>
      <c r="D196" s="7" t="s">
        <v>132</v>
      </c>
      <c r="E196" s="2" t="s">
        <v>201</v>
      </c>
    </row>
    <row r="197" spans="1:5" ht="62.05" customHeight="1">
      <c r="A197" s="16">
        <v>44066.5</v>
      </c>
      <c r="B197" s="5">
        <f>215.056978092398*1000000/4046.8564224</f>
        <v>53141.736608697822</v>
      </c>
      <c r="C197" s="6" t="s">
        <v>202</v>
      </c>
      <c r="D197" s="7" t="s">
        <v>132</v>
      </c>
      <c r="E197" s="2" t="s">
        <v>203</v>
      </c>
    </row>
    <row r="198" spans="1:5" ht="27" customHeight="1">
      <c r="A198" s="14">
        <v>44066.5</v>
      </c>
      <c r="B198" s="5">
        <f>1405.318*1000000/4046.8564224</f>
        <v>347261.64047267387</v>
      </c>
      <c r="C198" s="6" t="s">
        <v>126</v>
      </c>
      <c r="D198" s="7" t="s">
        <v>127</v>
      </c>
      <c r="E198" s="2"/>
    </row>
    <row r="199" spans="1:5" ht="27" customHeight="1">
      <c r="A199" s="14">
        <v>44066.541666666664</v>
      </c>
      <c r="B199" s="5">
        <f>1415.27*1000000/4046.8564224</f>
        <v>349720.83322903508</v>
      </c>
      <c r="C199" s="6" t="s">
        <v>126</v>
      </c>
      <c r="D199" s="7" t="s">
        <v>127</v>
      </c>
      <c r="E199" s="2"/>
    </row>
    <row r="200" spans="1:5" ht="27" customHeight="1">
      <c r="A200" s="14">
        <v>44066.583333333336</v>
      </c>
      <c r="B200" s="5">
        <f>1443.191*1000000/4046.8564224</f>
        <v>356620.26258497982</v>
      </c>
      <c r="C200" s="6" t="s">
        <v>126</v>
      </c>
      <c r="D200" s="7" t="s">
        <v>127</v>
      </c>
      <c r="E200" s="2"/>
    </row>
    <row r="201" spans="1:5" ht="27" customHeight="1">
      <c r="A201" s="14">
        <v>44066.625</v>
      </c>
      <c r="B201" s="5">
        <f>1446.514*1000000/4046.8564224</f>
        <v>357441.39376759517</v>
      </c>
      <c r="C201" s="6" t="s">
        <v>126</v>
      </c>
      <c r="D201" s="7" t="s">
        <v>127</v>
      </c>
      <c r="E201" s="2"/>
    </row>
    <row r="202" spans="1:5" ht="27" customHeight="1">
      <c r="A202" s="14">
        <v>44066.666666666664</v>
      </c>
      <c r="B202" s="5">
        <f>1448.763*1000000/4046.8564224</f>
        <v>357997.13377051486</v>
      </c>
      <c r="C202" s="6" t="s">
        <v>126</v>
      </c>
      <c r="D202" s="7" t="s">
        <v>127</v>
      </c>
      <c r="E202" s="2"/>
    </row>
    <row r="203" spans="1:5" ht="27" customHeight="1">
      <c r="A203" s="14">
        <v>44066.708333333336</v>
      </c>
      <c r="B203" s="5">
        <f>1453.489*1000000/4046.8564224</f>
        <v>359164.95380332868</v>
      </c>
      <c r="C203" s="6" t="s">
        <v>126</v>
      </c>
      <c r="D203" s="7" t="s">
        <v>127</v>
      </c>
      <c r="E203" s="2"/>
    </row>
    <row r="204" spans="1:5" ht="27" customHeight="1">
      <c r="A204" s="14">
        <v>44066.75</v>
      </c>
      <c r="B204" s="5">
        <f>1467.228*1000000/4046.8564224</f>
        <v>362559.93463930604</v>
      </c>
      <c r="C204" s="6" t="s">
        <v>126</v>
      </c>
      <c r="D204" s="7" t="s">
        <v>127</v>
      </c>
      <c r="E204" s="2"/>
    </row>
    <row r="205" spans="1:5" ht="48" customHeight="1">
      <c r="A205" s="14">
        <v>44066.770833333336</v>
      </c>
      <c r="B205" s="8">
        <v>347630</v>
      </c>
      <c r="C205" s="6" t="s">
        <v>9</v>
      </c>
      <c r="D205" s="7" t="s">
        <v>10</v>
      </c>
      <c r="E205" s="2" t="s">
        <v>204</v>
      </c>
    </row>
    <row r="206" spans="1:5" ht="27" customHeight="1">
      <c r="A206" s="14">
        <v>44066.791666666664</v>
      </c>
      <c r="B206" s="5">
        <f>1467.228*1000000/4046.8564224</f>
        <v>362559.93463930604</v>
      </c>
      <c r="C206" s="6" t="s">
        <v>126</v>
      </c>
      <c r="D206" s="7" t="s">
        <v>127</v>
      </c>
      <c r="E206" s="2"/>
    </row>
    <row r="207" spans="1:5" ht="27" customHeight="1">
      <c r="A207" s="14">
        <v>44066.833333333336</v>
      </c>
      <c r="B207" s="5">
        <f>1467.228*1000000/4046.8564224</f>
        <v>362559.93463930604</v>
      </c>
      <c r="C207" s="6" t="s">
        <v>126</v>
      </c>
      <c r="D207" s="7" t="s">
        <v>127</v>
      </c>
      <c r="E207" s="2"/>
    </row>
    <row r="208" spans="1:5" ht="27" customHeight="1">
      <c r="A208" s="14">
        <v>44066.875</v>
      </c>
      <c r="B208" s="5">
        <f>1467.228*1000000/4046.8564224</f>
        <v>362559.93463930604</v>
      </c>
      <c r="C208" s="6" t="s">
        <v>126</v>
      </c>
      <c r="D208" s="7" t="s">
        <v>127</v>
      </c>
      <c r="E208" s="2"/>
    </row>
    <row r="209" spans="1:5" ht="27" customHeight="1">
      <c r="A209" s="14">
        <v>44066.916666666664</v>
      </c>
      <c r="B209" s="5">
        <f>1467.27*1000000/4046.8564224</f>
        <v>362570.3130653277</v>
      </c>
      <c r="C209" s="6" t="s">
        <v>126</v>
      </c>
      <c r="D209" s="7" t="s">
        <v>127</v>
      </c>
      <c r="E209" s="2"/>
    </row>
    <row r="210" spans="1:5" ht="27" customHeight="1">
      <c r="A210" s="14">
        <v>44066.958333333336</v>
      </c>
      <c r="B210" s="5">
        <f>1467.27*1000000/4046.8564224</f>
        <v>362570.3130653277</v>
      </c>
      <c r="C210" s="6" t="s">
        <v>126</v>
      </c>
      <c r="D210" s="7" t="s">
        <v>127</v>
      </c>
      <c r="E210" s="2"/>
    </row>
    <row r="211" spans="1:5" ht="62.05" customHeight="1">
      <c r="A211" s="15">
        <v>44067</v>
      </c>
      <c r="B211" s="5">
        <f>1200.13492897223*1000000/4046.8564224</f>
        <v>296559.79943575227</v>
      </c>
      <c r="C211" s="6" t="s">
        <v>205</v>
      </c>
      <c r="D211" s="7" t="s">
        <v>132</v>
      </c>
      <c r="E211" s="2" t="s">
        <v>206</v>
      </c>
    </row>
    <row r="212" spans="1:5" ht="62.05" customHeight="1">
      <c r="A212" s="15">
        <v>44067</v>
      </c>
      <c r="B212" s="5">
        <f>217.075662412482*1000000/4046.8564224</f>
        <v>53640.564367673964</v>
      </c>
      <c r="C212" s="6" t="s">
        <v>207</v>
      </c>
      <c r="D212" s="7" t="s">
        <v>132</v>
      </c>
      <c r="E212" s="2" t="s">
        <v>208</v>
      </c>
    </row>
    <row r="213" spans="1:5" ht="27" customHeight="1">
      <c r="A213" s="14">
        <v>44067</v>
      </c>
      <c r="B213" s="5">
        <f t="shared" ref="B213:B220" si="3">1467.278*1000000/4046.8564224</f>
        <v>362572.28990837943</v>
      </c>
      <c r="C213" s="6" t="s">
        <v>126</v>
      </c>
      <c r="D213" s="7" t="s">
        <v>127</v>
      </c>
      <c r="E213" s="2"/>
    </row>
    <row r="214" spans="1:5" ht="27" customHeight="1">
      <c r="A214" s="14">
        <v>44067.041666666664</v>
      </c>
      <c r="B214" s="5">
        <f t="shared" si="3"/>
        <v>362572.28990837943</v>
      </c>
      <c r="C214" s="6" t="s">
        <v>126</v>
      </c>
      <c r="D214" s="7" t="s">
        <v>127</v>
      </c>
      <c r="E214" s="2"/>
    </row>
    <row r="215" spans="1:5" ht="27" customHeight="1">
      <c r="A215" s="14">
        <v>44067.083333333336</v>
      </c>
      <c r="B215" s="5">
        <f t="shared" si="3"/>
        <v>362572.28990837943</v>
      </c>
      <c r="C215" s="6" t="s">
        <v>126</v>
      </c>
      <c r="D215" s="7" t="s">
        <v>127</v>
      </c>
      <c r="E215" s="2"/>
    </row>
    <row r="216" spans="1:5" ht="27" customHeight="1">
      <c r="A216" s="14">
        <v>44067.125</v>
      </c>
      <c r="B216" s="5">
        <f t="shared" si="3"/>
        <v>362572.28990837943</v>
      </c>
      <c r="C216" s="6" t="s">
        <v>126</v>
      </c>
      <c r="D216" s="7" t="s">
        <v>127</v>
      </c>
      <c r="E216" s="2"/>
    </row>
    <row r="217" spans="1:5" ht="27" customHeight="1">
      <c r="A217" s="14">
        <v>44067.166666666664</v>
      </c>
      <c r="B217" s="5">
        <f t="shared" si="3"/>
        <v>362572.28990837943</v>
      </c>
      <c r="C217" s="6" t="s">
        <v>126</v>
      </c>
      <c r="D217" s="7" t="s">
        <v>127</v>
      </c>
      <c r="E217" s="2"/>
    </row>
    <row r="218" spans="1:5" ht="27" customHeight="1">
      <c r="A218" s="14">
        <v>44067.208333333336</v>
      </c>
      <c r="B218" s="5">
        <f t="shared" si="3"/>
        <v>362572.28990837943</v>
      </c>
      <c r="C218" s="6" t="s">
        <v>126</v>
      </c>
      <c r="D218" s="7" t="s">
        <v>127</v>
      </c>
      <c r="E218" s="2"/>
    </row>
    <row r="219" spans="1:5" ht="27" customHeight="1">
      <c r="A219" s="14">
        <v>44067.25</v>
      </c>
      <c r="B219" s="5">
        <f t="shared" si="3"/>
        <v>362572.28990837943</v>
      </c>
      <c r="C219" s="6" t="s">
        <v>126</v>
      </c>
      <c r="D219" s="7" t="s">
        <v>127</v>
      </c>
      <c r="E219" s="2"/>
    </row>
    <row r="220" spans="1:5" ht="27" customHeight="1">
      <c r="A220" s="14">
        <v>44067.291666666664</v>
      </c>
      <c r="B220" s="5">
        <f t="shared" si="3"/>
        <v>362572.28990837943</v>
      </c>
      <c r="C220" s="6" t="s">
        <v>126</v>
      </c>
      <c r="D220" s="7" t="s">
        <v>127</v>
      </c>
      <c r="E220" s="2"/>
    </row>
    <row r="221" spans="1:5" ht="48" customHeight="1">
      <c r="A221" s="14">
        <v>44067.322916666664</v>
      </c>
      <c r="B221" s="8">
        <v>350030</v>
      </c>
      <c r="C221" s="6" t="s">
        <v>9</v>
      </c>
      <c r="D221" s="7" t="s">
        <v>10</v>
      </c>
      <c r="E221" s="2" t="s">
        <v>209</v>
      </c>
    </row>
    <row r="222" spans="1:5" ht="27" customHeight="1">
      <c r="A222" s="14">
        <v>44067.333333333336</v>
      </c>
      <c r="B222" s="5">
        <f>1467.318*1000000/4046.8564224</f>
        <v>362582.17412363808</v>
      </c>
      <c r="C222" s="6" t="s">
        <v>126</v>
      </c>
      <c r="D222" s="7" t="s">
        <v>127</v>
      </c>
      <c r="E222" s="2"/>
    </row>
    <row r="223" spans="1:5" ht="27" customHeight="1">
      <c r="A223" s="14">
        <v>44067.375</v>
      </c>
      <c r="B223" s="5">
        <f>1467.318*1000000/4046.8564224</f>
        <v>362582.17412363808</v>
      </c>
      <c r="C223" s="6" t="s">
        <v>126</v>
      </c>
      <c r="D223" s="7" t="s">
        <v>127</v>
      </c>
      <c r="E223" s="2"/>
    </row>
    <row r="224" spans="1:5" ht="27" customHeight="1">
      <c r="A224" s="14">
        <v>44067.416666666664</v>
      </c>
      <c r="B224" s="5">
        <f>1467.318*1000000/4046.8564224</f>
        <v>362582.17412363808</v>
      </c>
      <c r="C224" s="6" t="s">
        <v>126</v>
      </c>
      <c r="D224" s="7" t="s">
        <v>127</v>
      </c>
      <c r="E224" s="2"/>
    </row>
    <row r="225" spans="1:5" ht="27" customHeight="1">
      <c r="A225" s="14">
        <v>44067.458333333336</v>
      </c>
      <c r="B225" s="5">
        <f>1467.318*1000000/4046.8564224</f>
        <v>362582.17412363808</v>
      </c>
      <c r="C225" s="6" t="s">
        <v>126</v>
      </c>
      <c r="D225" s="7" t="s">
        <v>127</v>
      </c>
      <c r="E225" s="2"/>
    </row>
    <row r="226" spans="1:5" ht="62.05" customHeight="1">
      <c r="A226" s="16">
        <v>44067.5</v>
      </c>
      <c r="B226" s="5">
        <f>1212.64179588447*1000000/4046.8564224</f>
        <v>299650.31355506042</v>
      </c>
      <c r="C226" s="6" t="s">
        <v>210</v>
      </c>
      <c r="D226" s="7" t="s">
        <v>132</v>
      </c>
      <c r="E226" s="2" t="s">
        <v>211</v>
      </c>
    </row>
    <row r="227" spans="1:5" ht="62.05" customHeight="1">
      <c r="A227" s="16">
        <v>44067.5</v>
      </c>
      <c r="B227" s="5">
        <f>219.214231183227*1000000/4046.8564224</f>
        <v>54169.016219562676</v>
      </c>
      <c r="C227" s="6" t="s">
        <v>212</v>
      </c>
      <c r="D227" s="7" t="s">
        <v>132</v>
      </c>
      <c r="E227" s="2" t="s">
        <v>213</v>
      </c>
    </row>
    <row r="228" spans="1:5" ht="27" customHeight="1">
      <c r="A228" s="14">
        <v>44067.5</v>
      </c>
      <c r="B228" s="5">
        <f>1469.244*1000000/4046.8564224</f>
        <v>363058.09908834385</v>
      </c>
      <c r="C228" s="6" t="s">
        <v>126</v>
      </c>
      <c r="D228" s="7" t="s">
        <v>127</v>
      </c>
      <c r="E228" s="2"/>
    </row>
    <row r="229" spans="1:5" ht="27" customHeight="1">
      <c r="A229" s="14">
        <v>44067.541666666664</v>
      </c>
      <c r="B229" s="5">
        <f>1472.684*1000000/4046.8564224</f>
        <v>363908.1416005909</v>
      </c>
      <c r="C229" s="6" t="s">
        <v>126</v>
      </c>
      <c r="D229" s="7" t="s">
        <v>127</v>
      </c>
      <c r="E229" s="2"/>
    </row>
    <row r="230" spans="1:5" ht="27" customHeight="1">
      <c r="A230" s="14">
        <v>44067.583333333336</v>
      </c>
      <c r="B230" s="5">
        <f>1472.715*1000000/4046.8564224</f>
        <v>363915.80186741642</v>
      </c>
      <c r="C230" s="6" t="s">
        <v>126</v>
      </c>
      <c r="D230" s="7" t="s">
        <v>127</v>
      </c>
      <c r="E230" s="2"/>
    </row>
    <row r="231" spans="1:5" ht="27" customHeight="1">
      <c r="A231" s="14">
        <v>44067.625</v>
      </c>
      <c r="B231" s="5">
        <f>1476.242*1000000/4046.8564224</f>
        <v>364787.34254785109</v>
      </c>
      <c r="C231" s="6" t="s">
        <v>126</v>
      </c>
      <c r="D231" s="7" t="s">
        <v>127</v>
      </c>
      <c r="E231" s="2"/>
    </row>
    <row r="232" spans="1:5" ht="27" customHeight="1">
      <c r="A232" s="14">
        <v>44067.666666666664</v>
      </c>
      <c r="B232" s="5">
        <f>1478.555*1000000/4046.8564224</f>
        <v>365358.89729518467</v>
      </c>
      <c r="C232" s="6" t="s">
        <v>126</v>
      </c>
      <c r="D232" s="7" t="s">
        <v>127</v>
      </c>
      <c r="E232" s="2"/>
    </row>
    <row r="233" spans="1:5" ht="27" customHeight="1">
      <c r="A233" s="14">
        <v>44067.708333333336</v>
      </c>
      <c r="B233" s="5">
        <f>1480.057*1000000/4046.8564224</f>
        <v>365730.04957814835</v>
      </c>
      <c r="C233" s="6" t="s">
        <v>126</v>
      </c>
      <c r="D233" s="7" t="s">
        <v>127</v>
      </c>
      <c r="E233" s="2"/>
    </row>
    <row r="234" spans="1:5" ht="27" customHeight="1">
      <c r="A234" s="14">
        <v>44067.75</v>
      </c>
      <c r="B234" s="5">
        <f>1480.057*1000000/4046.8564224</f>
        <v>365730.04957814835</v>
      </c>
      <c r="C234" s="6" t="s">
        <v>126</v>
      </c>
      <c r="D234" s="7" t="s">
        <v>127</v>
      </c>
      <c r="E234" s="2"/>
    </row>
    <row r="235" spans="1:5" ht="27" customHeight="1">
      <c r="A235" s="14">
        <v>44067.791666666664</v>
      </c>
      <c r="B235" s="5">
        <f>1483.48*1000000/4046.8564224</f>
        <v>366575.89129891043</v>
      </c>
      <c r="C235" s="6" t="s">
        <v>126</v>
      </c>
      <c r="D235" s="7" t="s">
        <v>127</v>
      </c>
      <c r="E235" s="2"/>
    </row>
    <row r="236" spans="1:5" ht="48" customHeight="1">
      <c r="A236" s="14">
        <v>44067.8125</v>
      </c>
      <c r="B236" s="8">
        <v>351817</v>
      </c>
      <c r="C236" s="6" t="s">
        <v>9</v>
      </c>
      <c r="D236" s="7" t="s">
        <v>10</v>
      </c>
      <c r="E236" s="2" t="s">
        <v>214</v>
      </c>
    </row>
    <row r="237" spans="1:5" ht="27" customHeight="1">
      <c r="A237" s="14">
        <v>44067.833333333336</v>
      </c>
      <c r="B237" s="5">
        <f>1483.48*1000000/4046.8564224</f>
        <v>366575.89129891043</v>
      </c>
      <c r="C237" s="6" t="s">
        <v>126</v>
      </c>
      <c r="D237" s="7" t="s">
        <v>127</v>
      </c>
      <c r="E237" s="2"/>
    </row>
    <row r="238" spans="1:5" ht="27" customHeight="1">
      <c r="A238" s="14">
        <v>44067.875</v>
      </c>
      <c r="B238" s="5">
        <f>1483.498*1000000/4046.8564224</f>
        <v>366580.33919577685</v>
      </c>
      <c r="C238" s="6" t="s">
        <v>126</v>
      </c>
      <c r="D238" s="7" t="s">
        <v>127</v>
      </c>
      <c r="E238" s="2"/>
    </row>
    <row r="239" spans="1:5" ht="27" customHeight="1">
      <c r="A239" s="14">
        <v>44067.916666666664</v>
      </c>
      <c r="B239" s="5">
        <f>1483.498*1000000/4046.8564224</f>
        <v>366580.33919577685</v>
      </c>
      <c r="C239" s="6" t="s">
        <v>126</v>
      </c>
      <c r="D239" s="7" t="s">
        <v>127</v>
      </c>
      <c r="E239" s="2"/>
    </row>
    <row r="240" spans="1:5" ht="27" customHeight="1">
      <c r="A240" s="14">
        <v>44067.958333333336</v>
      </c>
      <c r="B240" s="5">
        <f>1483.498*1000000/4046.8564224</f>
        <v>366580.33919577685</v>
      </c>
      <c r="C240" s="6" t="s">
        <v>126</v>
      </c>
      <c r="D240" s="7" t="s">
        <v>127</v>
      </c>
      <c r="E240" s="2"/>
    </row>
    <row r="241" spans="1:5" ht="62.05" customHeight="1">
      <c r="A241" s="15">
        <v>44068</v>
      </c>
      <c r="B241" s="5">
        <f>1227.27653255789*1000000/4046.8564224</f>
        <v>303266.63574341737</v>
      </c>
      <c r="C241" s="6" t="s">
        <v>215</v>
      </c>
      <c r="D241" s="7" t="s">
        <v>132</v>
      </c>
      <c r="E241" s="2" t="s">
        <v>216</v>
      </c>
    </row>
    <row r="242" spans="1:5" ht="62.05" customHeight="1">
      <c r="A242" s="15">
        <v>44068</v>
      </c>
      <c r="B242" s="5">
        <f>228.457546479682*1000000/4046.8564224</f>
        <v>56453.089171914471</v>
      </c>
      <c r="C242" s="6" t="s">
        <v>217</v>
      </c>
      <c r="D242" s="7" t="s">
        <v>132</v>
      </c>
      <c r="E242" s="2" t="s">
        <v>218</v>
      </c>
    </row>
    <row r="243" spans="1:5" ht="27" customHeight="1">
      <c r="A243" s="14">
        <v>44068</v>
      </c>
      <c r="B243" s="5">
        <f>1483.498*1000000/4046.8564224</f>
        <v>366580.33919577685</v>
      </c>
      <c r="C243" s="6" t="s">
        <v>126</v>
      </c>
      <c r="D243" s="7" t="s">
        <v>127</v>
      </c>
      <c r="E243" s="2"/>
    </row>
    <row r="244" spans="1:5" ht="27" customHeight="1">
      <c r="A244" s="14">
        <v>44068.041666666664</v>
      </c>
      <c r="B244" s="5">
        <f>1483.498*1000000/4046.8564224</f>
        <v>366580.33919577685</v>
      </c>
      <c r="C244" s="6" t="s">
        <v>126</v>
      </c>
      <c r="D244" s="7" t="s">
        <v>127</v>
      </c>
      <c r="E244" s="2"/>
    </row>
    <row r="245" spans="1:5" ht="27" customHeight="1">
      <c r="A245" s="14">
        <v>44068.083333333336</v>
      </c>
      <c r="B245" s="5">
        <f>1488.111*1000000/4046.8564224</f>
        <v>367720.2363204849</v>
      </c>
      <c r="C245" s="6" t="s">
        <v>126</v>
      </c>
      <c r="D245" s="7" t="s">
        <v>127</v>
      </c>
      <c r="E245" s="2"/>
    </row>
    <row r="246" spans="1:5" ht="27" customHeight="1">
      <c r="A246" s="14">
        <v>44068.125</v>
      </c>
      <c r="B246" s="5">
        <f>1488.111*1000000/4046.8564224</f>
        <v>367720.2363204849</v>
      </c>
      <c r="C246" s="6" t="s">
        <v>126</v>
      </c>
      <c r="D246" s="7" t="s">
        <v>127</v>
      </c>
      <c r="E246" s="2"/>
    </row>
    <row r="247" spans="1:5" ht="27" customHeight="1">
      <c r="A247" s="14">
        <v>44068.166666666664</v>
      </c>
      <c r="B247" s="5">
        <f>1488.111*1000000/4046.8564224</f>
        <v>367720.2363204849</v>
      </c>
      <c r="C247" s="6" t="s">
        <v>126</v>
      </c>
      <c r="D247" s="7" t="s">
        <v>127</v>
      </c>
      <c r="E247" s="2"/>
    </row>
    <row r="248" spans="1:5" ht="27" customHeight="1">
      <c r="A248" s="14">
        <v>44068.208333333336</v>
      </c>
      <c r="B248" s="5">
        <f>1488.13*1000000/4046.8564224</f>
        <v>367724.93132273277</v>
      </c>
      <c r="C248" s="6" t="s">
        <v>126</v>
      </c>
      <c r="D248" s="7" t="s">
        <v>127</v>
      </c>
      <c r="E248" s="2"/>
    </row>
    <row r="249" spans="1:5" ht="27" customHeight="1">
      <c r="A249" s="14">
        <v>44068.25</v>
      </c>
      <c r="B249" s="5">
        <f>1488.521*1000000/4046.8564224</f>
        <v>367821.54952688643</v>
      </c>
      <c r="C249" s="6" t="s">
        <v>126</v>
      </c>
      <c r="D249" s="7" t="s">
        <v>127</v>
      </c>
      <c r="E249" s="2"/>
    </row>
    <row r="250" spans="1:5" ht="27" customHeight="1">
      <c r="A250" s="14">
        <v>44068.291666666664</v>
      </c>
      <c r="B250" s="5">
        <f>1488.572*1000000/4046.8564224</f>
        <v>367834.15190134122</v>
      </c>
      <c r="C250" s="6" t="s">
        <v>126</v>
      </c>
      <c r="D250" s="7" t="s">
        <v>127</v>
      </c>
      <c r="E250" s="2"/>
    </row>
    <row r="251" spans="1:5" ht="48" customHeight="1">
      <c r="A251" s="14">
        <v>44068.291666666664</v>
      </c>
      <c r="B251" s="8">
        <v>352913</v>
      </c>
      <c r="C251" s="6" t="s">
        <v>9</v>
      </c>
      <c r="D251" s="7" t="s">
        <v>10</v>
      </c>
      <c r="E251" s="2" t="s">
        <v>219</v>
      </c>
    </row>
    <row r="252" spans="1:5" ht="27" customHeight="1">
      <c r="A252" s="14">
        <v>44068.333333333336</v>
      </c>
      <c r="B252" s="5">
        <f>1488.572*1000000/4046.8564224</f>
        <v>367834.15190134122</v>
      </c>
      <c r="C252" s="6" t="s">
        <v>126</v>
      </c>
      <c r="D252" s="7" t="s">
        <v>127</v>
      </c>
      <c r="E252" s="2"/>
    </row>
    <row r="253" spans="1:5" ht="27" customHeight="1">
      <c r="A253" s="14">
        <v>44068.375</v>
      </c>
      <c r="B253" s="5">
        <f>1491.64*1000000/4046.8564224</f>
        <v>368592.27121168247</v>
      </c>
      <c r="C253" s="6" t="s">
        <v>126</v>
      </c>
      <c r="D253" s="7" t="s">
        <v>127</v>
      </c>
      <c r="E253" s="2"/>
    </row>
    <row r="254" spans="1:5" ht="27" customHeight="1">
      <c r="A254" s="14">
        <v>44068.416666666664</v>
      </c>
      <c r="B254" s="5">
        <f>1493.479*1000000/4046.8564224</f>
        <v>369046.69800820062</v>
      </c>
      <c r="C254" s="6" t="s">
        <v>126</v>
      </c>
      <c r="D254" s="7" t="s">
        <v>127</v>
      </c>
      <c r="E254" s="2"/>
    </row>
    <row r="255" spans="1:5" ht="27" customHeight="1">
      <c r="A255" s="14">
        <v>44068.458333333336</v>
      </c>
      <c r="B255" s="5">
        <f>1493.479*1000000/4046.8564224</f>
        <v>369046.69800820062</v>
      </c>
      <c r="C255" s="6" t="s">
        <v>126</v>
      </c>
      <c r="D255" s="7" t="s">
        <v>127</v>
      </c>
      <c r="E255" s="2"/>
    </row>
    <row r="256" spans="1:5" ht="62.05" customHeight="1">
      <c r="A256" s="16">
        <v>44068.5</v>
      </c>
      <c r="B256" s="5">
        <f>1258.73938556024*1000000/4046.8564224</f>
        <v>311041.27603660844</v>
      </c>
      <c r="C256" s="6" t="s">
        <v>220</v>
      </c>
      <c r="D256" s="7" t="s">
        <v>132</v>
      </c>
      <c r="E256" s="2" t="s">
        <v>221</v>
      </c>
    </row>
    <row r="257" spans="1:5" ht="62.05" customHeight="1">
      <c r="A257" s="16">
        <v>44068.5</v>
      </c>
      <c r="B257" s="5">
        <f>228.558445884624*1000000/4046.8564224</f>
        <v>56478.021957862482</v>
      </c>
      <c r="C257" s="6" t="s">
        <v>222</v>
      </c>
      <c r="D257" s="7" t="s">
        <v>132</v>
      </c>
      <c r="E257" s="2" t="s">
        <v>223</v>
      </c>
    </row>
    <row r="258" spans="1:5" ht="27" customHeight="1">
      <c r="A258" s="14">
        <v>44068.5</v>
      </c>
      <c r="B258" s="5">
        <f>1493.479*1000000/4046.8564224</f>
        <v>369046.69800820062</v>
      </c>
      <c r="C258" s="6" t="s">
        <v>126</v>
      </c>
      <c r="D258" s="7" t="s">
        <v>127</v>
      </c>
      <c r="E258" s="2"/>
    </row>
    <row r="259" spans="1:5" ht="27" customHeight="1">
      <c r="A259" s="14">
        <v>44068.541666666664</v>
      </c>
      <c r="B259" s="5">
        <f>1499.801*1000000/4046.8564224</f>
        <v>370608.89822983602</v>
      </c>
      <c r="C259" s="6" t="s">
        <v>126</v>
      </c>
      <c r="D259" s="7" t="s">
        <v>127</v>
      </c>
      <c r="E259" s="2"/>
    </row>
    <row r="260" spans="1:5" ht="27" customHeight="1">
      <c r="A260" s="14">
        <v>44068.583333333336</v>
      </c>
      <c r="B260" s="5">
        <f>1509.617*1000000/4046.8564224</f>
        <v>373034.48465431773</v>
      </c>
      <c r="C260" s="6" t="s">
        <v>126</v>
      </c>
      <c r="D260" s="7" t="s">
        <v>127</v>
      </c>
      <c r="E260" s="2"/>
    </row>
    <row r="261" spans="1:5" ht="27" customHeight="1">
      <c r="A261" s="14">
        <v>44068.625</v>
      </c>
      <c r="B261" s="5">
        <f>1509.636*1000000/4046.8564224</f>
        <v>373039.1796565656</v>
      </c>
      <c r="C261" s="6" t="s">
        <v>126</v>
      </c>
      <c r="D261" s="7" t="s">
        <v>127</v>
      </c>
      <c r="E261" s="2"/>
    </row>
    <row r="262" spans="1:5" ht="27" customHeight="1">
      <c r="A262" s="14">
        <v>44068.666666666664</v>
      </c>
      <c r="B262" s="5">
        <f>1511.929*1000000/4046.8564224</f>
        <v>373605.79229626979</v>
      </c>
      <c r="C262" s="6" t="s">
        <v>126</v>
      </c>
      <c r="D262" s="7" t="s">
        <v>127</v>
      </c>
      <c r="E262" s="2"/>
    </row>
    <row r="263" spans="1:5" ht="27" customHeight="1">
      <c r="A263" s="14">
        <v>44068.708333333336</v>
      </c>
      <c r="B263" s="5">
        <f>1515.127*1000000/4046.8564224</f>
        <v>374396.03530620178</v>
      </c>
      <c r="C263" s="6" t="s">
        <v>126</v>
      </c>
      <c r="D263" s="7" t="s">
        <v>127</v>
      </c>
      <c r="E263" s="2"/>
    </row>
    <row r="264" spans="1:5" ht="27" customHeight="1">
      <c r="A264" s="14">
        <v>44068.75</v>
      </c>
      <c r="B264" s="5">
        <f>1517.014*1000000/4046.8564224</f>
        <v>374862.32316103036</v>
      </c>
      <c r="C264" s="6" t="s">
        <v>126</v>
      </c>
      <c r="D264" s="7" t="s">
        <v>127</v>
      </c>
      <c r="E264" s="2"/>
    </row>
    <row r="265" spans="1:5" ht="27" customHeight="1">
      <c r="A265" s="14">
        <v>44068.791666666664</v>
      </c>
      <c r="B265" s="5">
        <f>1519.105*1000000/4046.8564224</f>
        <v>375379.0205136782</v>
      </c>
      <c r="C265" s="6" t="s">
        <v>126</v>
      </c>
      <c r="D265" s="7" t="s">
        <v>127</v>
      </c>
      <c r="E265" s="2"/>
    </row>
    <row r="266" spans="1:5" ht="48" customHeight="1">
      <c r="A266" s="14">
        <v>44068.8125</v>
      </c>
      <c r="B266" s="8">
        <v>356326</v>
      </c>
      <c r="C266" s="6" t="s">
        <v>9</v>
      </c>
      <c r="D266" s="7" t="s">
        <v>10</v>
      </c>
      <c r="E266" s="2" t="s">
        <v>224</v>
      </c>
    </row>
    <row r="267" spans="1:5" ht="27" customHeight="1">
      <c r="A267" s="14">
        <v>44068.833333333336</v>
      </c>
      <c r="B267" s="5">
        <f>1519.233*1000000/4046.8564224</f>
        <v>375410.65000250598</v>
      </c>
      <c r="C267" s="6" t="s">
        <v>126</v>
      </c>
      <c r="D267" s="7" t="s">
        <v>127</v>
      </c>
      <c r="E267" s="2"/>
    </row>
    <row r="268" spans="1:5" ht="27" customHeight="1">
      <c r="A268" s="14">
        <v>44068.875</v>
      </c>
      <c r="B268" s="5">
        <f>1519.233*1000000/4046.8564224</f>
        <v>375410.65000250598</v>
      </c>
      <c r="C268" s="6" t="s">
        <v>126</v>
      </c>
      <c r="D268" s="7" t="s">
        <v>127</v>
      </c>
      <c r="E268" s="2"/>
    </row>
    <row r="269" spans="1:5" ht="27" customHeight="1">
      <c r="A269" s="14">
        <v>44068.916666666664</v>
      </c>
      <c r="B269" s="5">
        <f>1519.233*1000000/4046.8564224</f>
        <v>375410.65000250598</v>
      </c>
      <c r="C269" s="6" t="s">
        <v>126</v>
      </c>
      <c r="D269" s="7" t="s">
        <v>127</v>
      </c>
      <c r="E269" s="2"/>
    </row>
    <row r="270" spans="1:5" ht="27" customHeight="1">
      <c r="A270" s="14">
        <v>44068.958333333336</v>
      </c>
      <c r="B270" s="5">
        <f>1519.233*1000000/4046.8564224</f>
        <v>375410.65000250598</v>
      </c>
      <c r="C270" s="6" t="s">
        <v>126</v>
      </c>
      <c r="D270" s="7" t="s">
        <v>127</v>
      </c>
      <c r="E270" s="2"/>
    </row>
    <row r="271" spans="1:5" ht="62.05" customHeight="1">
      <c r="A271" s="15">
        <v>44069</v>
      </c>
      <c r="B271" s="5">
        <f>1266.72049432692*1000000/4046.8564224</f>
        <v>313013.45096292981</v>
      </c>
      <c r="C271" s="6" t="s">
        <v>225</v>
      </c>
      <c r="D271" s="7" t="s">
        <v>132</v>
      </c>
      <c r="E271" s="2" t="s">
        <v>226</v>
      </c>
    </row>
    <row r="272" spans="1:5" ht="62.05" customHeight="1">
      <c r="A272" s="15">
        <v>44069</v>
      </c>
      <c r="B272" s="5">
        <f>231.471073937213*1000000/4046.8564224</f>
        <v>57197.748023869448</v>
      </c>
      <c r="C272" s="6" t="s">
        <v>227</v>
      </c>
      <c r="D272" s="7" t="s">
        <v>132</v>
      </c>
      <c r="E272" s="2" t="s">
        <v>228</v>
      </c>
    </row>
    <row r="273" spans="1:5" ht="27" customHeight="1">
      <c r="A273" s="14">
        <v>44069</v>
      </c>
      <c r="B273" s="5">
        <f t="shared" ref="B273:B280" si="4">1519.233*1000000/4046.8564224</f>
        <v>375410.65000250598</v>
      </c>
      <c r="C273" s="6" t="s">
        <v>126</v>
      </c>
      <c r="D273" s="7" t="s">
        <v>127</v>
      </c>
      <c r="E273" s="2"/>
    </row>
    <row r="274" spans="1:5" ht="27" customHeight="1">
      <c r="A274" s="14">
        <v>44069.041666666664</v>
      </c>
      <c r="B274" s="5">
        <f t="shared" si="4"/>
        <v>375410.65000250598</v>
      </c>
      <c r="C274" s="6" t="s">
        <v>126</v>
      </c>
      <c r="D274" s="7" t="s">
        <v>127</v>
      </c>
      <c r="E274" s="2"/>
    </row>
    <row r="275" spans="1:5" ht="27" customHeight="1">
      <c r="A275" s="14">
        <v>44069.083333333336</v>
      </c>
      <c r="B275" s="5">
        <f t="shared" si="4"/>
        <v>375410.65000250598</v>
      </c>
      <c r="C275" s="6" t="s">
        <v>126</v>
      </c>
      <c r="D275" s="7" t="s">
        <v>127</v>
      </c>
      <c r="E275" s="2"/>
    </row>
    <row r="276" spans="1:5" ht="27" customHeight="1">
      <c r="A276" s="14">
        <v>44069.125</v>
      </c>
      <c r="B276" s="5">
        <f t="shared" si="4"/>
        <v>375410.65000250598</v>
      </c>
      <c r="C276" s="6" t="s">
        <v>126</v>
      </c>
      <c r="D276" s="7" t="s">
        <v>127</v>
      </c>
      <c r="E276" s="2"/>
    </row>
    <row r="277" spans="1:5" ht="27" customHeight="1">
      <c r="A277" s="14">
        <v>44069.166666666664</v>
      </c>
      <c r="B277" s="5">
        <f t="shared" si="4"/>
        <v>375410.65000250598</v>
      </c>
      <c r="C277" s="6" t="s">
        <v>126</v>
      </c>
      <c r="D277" s="7" t="s">
        <v>127</v>
      </c>
      <c r="E277" s="2"/>
    </row>
    <row r="278" spans="1:5" ht="27" customHeight="1">
      <c r="A278" s="14">
        <v>44069.208333333336</v>
      </c>
      <c r="B278" s="5">
        <f t="shared" si="4"/>
        <v>375410.65000250598</v>
      </c>
      <c r="C278" s="6" t="s">
        <v>126</v>
      </c>
      <c r="D278" s="7" t="s">
        <v>127</v>
      </c>
      <c r="E278" s="2"/>
    </row>
    <row r="279" spans="1:5" ht="27" customHeight="1">
      <c r="A279" s="14">
        <v>44069.25</v>
      </c>
      <c r="B279" s="5">
        <f t="shared" si="4"/>
        <v>375410.65000250598</v>
      </c>
      <c r="C279" s="6" t="s">
        <v>126</v>
      </c>
      <c r="D279" s="7" t="s">
        <v>127</v>
      </c>
      <c r="E279" s="2"/>
    </row>
    <row r="280" spans="1:5" ht="27" customHeight="1">
      <c r="A280" s="14">
        <v>44069.291666666664</v>
      </c>
      <c r="B280" s="5">
        <f t="shared" si="4"/>
        <v>375410.65000250598</v>
      </c>
      <c r="C280" s="6" t="s">
        <v>126</v>
      </c>
      <c r="D280" s="7" t="s">
        <v>127</v>
      </c>
      <c r="E280" s="2"/>
    </row>
    <row r="281" spans="1:5" ht="48" customHeight="1">
      <c r="A281" s="14">
        <v>44069.291666666664</v>
      </c>
      <c r="B281" s="8">
        <v>357046</v>
      </c>
      <c r="C281" s="6" t="s">
        <v>9</v>
      </c>
      <c r="D281" s="7" t="s">
        <v>10</v>
      </c>
      <c r="E281" s="2" t="s">
        <v>229</v>
      </c>
    </row>
    <row r="282" spans="1:5" ht="48" customHeight="1">
      <c r="A282" s="14">
        <v>44069.322916666664</v>
      </c>
      <c r="B282" s="8">
        <v>357046</v>
      </c>
      <c r="C282" s="6" t="s">
        <v>9</v>
      </c>
      <c r="D282" s="7" t="s">
        <v>10</v>
      </c>
      <c r="E282" s="2" t="s">
        <v>229</v>
      </c>
    </row>
    <row r="283" spans="1:5" ht="27" customHeight="1">
      <c r="A283" s="14">
        <v>44069.333333333336</v>
      </c>
      <c r="B283" s="5">
        <f>1519.233*1000000/4046.8564224</f>
        <v>375410.65000250598</v>
      </c>
      <c r="C283" s="6" t="s">
        <v>126</v>
      </c>
      <c r="D283" s="7" t="s">
        <v>127</v>
      </c>
      <c r="E283" s="2"/>
    </row>
    <row r="284" spans="1:5" ht="27" customHeight="1">
      <c r="A284" s="14">
        <v>44069.375</v>
      </c>
      <c r="B284" s="5">
        <f>1519.233*1000000/4046.8564224</f>
        <v>375410.65000250598</v>
      </c>
      <c r="C284" s="6" t="s">
        <v>126</v>
      </c>
      <c r="D284" s="7" t="s">
        <v>127</v>
      </c>
      <c r="E284" s="2"/>
    </row>
    <row r="285" spans="1:5" ht="27" customHeight="1">
      <c r="A285" s="14">
        <v>44069.416666666664</v>
      </c>
      <c r="B285" s="5">
        <f>1519.233*1000000/4046.8564224</f>
        <v>375410.65000250598</v>
      </c>
      <c r="C285" s="6" t="s">
        <v>126</v>
      </c>
      <c r="D285" s="7" t="s">
        <v>127</v>
      </c>
      <c r="E285" s="2"/>
    </row>
    <row r="286" spans="1:5" ht="27" customHeight="1">
      <c r="A286" s="14">
        <v>44069.458333333336</v>
      </c>
      <c r="B286" s="5">
        <f>1519.233*1000000/4046.8564224</f>
        <v>375410.65000250598</v>
      </c>
      <c r="C286" s="6" t="s">
        <v>126</v>
      </c>
      <c r="D286" s="7" t="s">
        <v>127</v>
      </c>
      <c r="E286" s="2"/>
    </row>
    <row r="287" spans="1:5" ht="62.05" customHeight="1">
      <c r="A287" s="16">
        <v>44069.5</v>
      </c>
      <c r="B287" s="5">
        <f>1273.31682190639*1000000/4046.8564224</f>
        <v>314643.43900573713</v>
      </c>
      <c r="C287" s="6" t="s">
        <v>230</v>
      </c>
      <c r="D287" s="7" t="s">
        <v>132</v>
      </c>
      <c r="E287" s="2" t="s">
        <v>231</v>
      </c>
    </row>
    <row r="288" spans="1:5" ht="62.05" customHeight="1">
      <c r="A288" s="16">
        <v>44069.5</v>
      </c>
      <c r="B288" s="5">
        <f>231.476292921604*1000000/4046.8564224</f>
        <v>57199.037662998264</v>
      </c>
      <c r="C288" s="6" t="s">
        <v>232</v>
      </c>
      <c r="D288" s="7" t="s">
        <v>132</v>
      </c>
      <c r="E288" s="2" t="s">
        <v>233</v>
      </c>
    </row>
    <row r="289" spans="1:5" ht="27" customHeight="1">
      <c r="A289" s="14">
        <v>44069.5</v>
      </c>
      <c r="B289" s="5">
        <f>1519.233*1000000/4046.8564224</f>
        <v>375410.65000250598</v>
      </c>
      <c r="C289" s="6" t="s">
        <v>126</v>
      </c>
      <c r="D289" s="7" t="s">
        <v>127</v>
      </c>
      <c r="E289" s="2"/>
    </row>
    <row r="290" spans="1:5" ht="27" customHeight="1">
      <c r="A290" s="14">
        <v>44069.541666666664</v>
      </c>
      <c r="B290" s="5">
        <f>1519.233*1000000/4046.8564224</f>
        <v>375410.65000250598</v>
      </c>
      <c r="C290" s="6" t="s">
        <v>126</v>
      </c>
      <c r="D290" s="7" t="s">
        <v>127</v>
      </c>
      <c r="E290" s="2"/>
    </row>
    <row r="291" spans="1:5" ht="27" customHeight="1">
      <c r="A291" s="14">
        <v>44069.583333333336</v>
      </c>
      <c r="B291" s="5">
        <f>1519.233*1000000/4046.8564224</f>
        <v>375410.65000250598</v>
      </c>
      <c r="C291" s="6" t="s">
        <v>126</v>
      </c>
      <c r="D291" s="7" t="s">
        <v>127</v>
      </c>
      <c r="E291" s="2"/>
    </row>
    <row r="292" spans="1:5" ht="27" customHeight="1">
      <c r="A292" s="14">
        <v>44069.625</v>
      </c>
      <c r="B292" s="5">
        <f>1519.233*1000000/4046.8564224</f>
        <v>375410.65000250598</v>
      </c>
      <c r="C292" s="6" t="s">
        <v>126</v>
      </c>
      <c r="D292" s="7" t="s">
        <v>127</v>
      </c>
      <c r="E292" s="2"/>
    </row>
    <row r="293" spans="1:5" ht="27" customHeight="1">
      <c r="A293" s="14">
        <v>44069.666666666664</v>
      </c>
      <c r="B293" s="5">
        <f>1524.704*1000000/4046.8564224</f>
        <v>376762.56354451284</v>
      </c>
      <c r="C293" s="6" t="s">
        <v>126</v>
      </c>
      <c r="D293" s="7" t="s">
        <v>127</v>
      </c>
      <c r="E293" s="2"/>
    </row>
    <row r="294" spans="1:5" ht="27" customHeight="1">
      <c r="A294" s="14">
        <v>44069.708333333336</v>
      </c>
      <c r="B294" s="5">
        <f>1526.749*1000000/4046.8564224</f>
        <v>377267.89404961321</v>
      </c>
      <c r="C294" s="6" t="s">
        <v>126</v>
      </c>
      <c r="D294" s="7" t="s">
        <v>127</v>
      </c>
      <c r="E294" s="2"/>
    </row>
    <row r="295" spans="1:5" ht="27" customHeight="1">
      <c r="A295" s="14">
        <v>44069.75</v>
      </c>
      <c r="B295" s="5">
        <f>1528.599*1000000/4046.8564224</f>
        <v>377725.03900532745</v>
      </c>
      <c r="C295" s="6" t="s">
        <v>126</v>
      </c>
      <c r="D295" s="7" t="s">
        <v>127</v>
      </c>
      <c r="E295" s="2"/>
    </row>
    <row r="296" spans="1:5" ht="27" customHeight="1">
      <c r="A296" s="14">
        <v>44069.791666666664</v>
      </c>
      <c r="B296" s="5">
        <f>1529.873*1000000/4046.8564224</f>
        <v>378039.85126131662</v>
      </c>
      <c r="C296" s="6" t="s">
        <v>126</v>
      </c>
      <c r="D296" s="7" t="s">
        <v>127</v>
      </c>
      <c r="E296" s="2"/>
    </row>
    <row r="297" spans="1:5" ht="48" customHeight="1">
      <c r="A297" s="14">
        <v>44069.8125</v>
      </c>
      <c r="B297" s="8">
        <v>360868</v>
      </c>
      <c r="C297" s="6" t="s">
        <v>9</v>
      </c>
      <c r="D297" s="7" t="s">
        <v>10</v>
      </c>
      <c r="E297" s="2" t="s">
        <v>234</v>
      </c>
    </row>
    <row r="298" spans="1:5" ht="27" customHeight="1">
      <c r="A298" s="14">
        <v>44069.833333333336</v>
      </c>
      <c r="B298" s="5">
        <f>1529.873*1000000/4046.8564224</f>
        <v>378039.85126131662</v>
      </c>
      <c r="C298" s="6" t="s">
        <v>126</v>
      </c>
      <c r="D298" s="7" t="s">
        <v>127</v>
      </c>
      <c r="E298" s="2"/>
    </row>
    <row r="299" spans="1:5" ht="27" customHeight="1">
      <c r="A299" s="14">
        <v>44069.875</v>
      </c>
      <c r="B299" s="5">
        <f>1529.912*1000000/4046.8564224</f>
        <v>378049.48837119387</v>
      </c>
      <c r="C299" s="6" t="s">
        <v>126</v>
      </c>
      <c r="D299" s="7" t="s">
        <v>127</v>
      </c>
      <c r="E299" s="2"/>
    </row>
    <row r="300" spans="1:5" ht="27" customHeight="1">
      <c r="A300" s="14">
        <v>44069.916666666664</v>
      </c>
      <c r="B300" s="5">
        <f>1529.912*1000000/4046.8564224</f>
        <v>378049.48837119387</v>
      </c>
      <c r="C300" s="6" t="s">
        <v>126</v>
      </c>
      <c r="D300" s="7" t="s">
        <v>127</v>
      </c>
      <c r="E300" s="2"/>
    </row>
    <row r="301" spans="1:5" ht="27" customHeight="1">
      <c r="A301" s="14">
        <v>44069.958333333336</v>
      </c>
      <c r="B301" s="5">
        <f>1529.912*1000000/4046.8564224</f>
        <v>378049.48837119387</v>
      </c>
      <c r="C301" s="6" t="s">
        <v>126</v>
      </c>
      <c r="D301" s="7" t="s">
        <v>127</v>
      </c>
      <c r="E301" s="2"/>
    </row>
    <row r="302" spans="1:5" ht="62.05" customHeight="1">
      <c r="A302" s="15">
        <v>44070</v>
      </c>
      <c r="B302" s="5">
        <f>1296.96222073203*1000000/4046.8564224</f>
        <v>320486.34430249012</v>
      </c>
      <c r="C302" s="6" t="s">
        <v>235</v>
      </c>
      <c r="D302" s="7" t="s">
        <v>132</v>
      </c>
      <c r="E302" s="2" t="s">
        <v>236</v>
      </c>
    </row>
    <row r="303" spans="1:5" ht="62.05" customHeight="1">
      <c r="A303" s="15">
        <v>44070</v>
      </c>
      <c r="B303" s="5">
        <f>231.488028361151*1000000/4046.8564224</f>
        <v>57201.937553264208</v>
      </c>
      <c r="C303" s="6" t="s">
        <v>237</v>
      </c>
      <c r="D303" s="7" t="s">
        <v>132</v>
      </c>
      <c r="E303" s="2" t="s">
        <v>238</v>
      </c>
    </row>
    <row r="304" spans="1:5" ht="27" customHeight="1">
      <c r="A304" s="14">
        <v>44070</v>
      </c>
      <c r="B304" s="5">
        <f>1529.912*1000000/4046.8564224</f>
        <v>378049.48837119387</v>
      </c>
      <c r="C304" s="6" t="s">
        <v>126</v>
      </c>
      <c r="D304" s="7" t="s">
        <v>127</v>
      </c>
      <c r="E304" s="2"/>
    </row>
    <row r="305" spans="1:5" ht="27" customHeight="1">
      <c r="A305" s="14">
        <v>44070.041666666664</v>
      </c>
      <c r="B305" s="5">
        <f>1529.912*1000000/4046.8564224</f>
        <v>378049.48837119387</v>
      </c>
      <c r="C305" s="6" t="s">
        <v>126</v>
      </c>
      <c r="D305" s="7" t="s">
        <v>127</v>
      </c>
      <c r="E305" s="2"/>
    </row>
    <row r="306" spans="1:5" ht="27" customHeight="1">
      <c r="A306" s="14">
        <v>44070.083333333336</v>
      </c>
      <c r="B306" s="5">
        <f>1529.912*1000000/4046.8564224</f>
        <v>378049.48837119387</v>
      </c>
      <c r="C306" s="6" t="s">
        <v>126</v>
      </c>
      <c r="D306" s="7" t="s">
        <v>127</v>
      </c>
      <c r="E306" s="2"/>
    </row>
    <row r="307" spans="1:5" ht="27" customHeight="1">
      <c r="A307" s="14">
        <v>44070.125</v>
      </c>
      <c r="B307" s="5">
        <f>1529.912*1000000/4046.8564224</f>
        <v>378049.48837119387</v>
      </c>
      <c r="C307" s="6" t="s">
        <v>126</v>
      </c>
      <c r="D307" s="7" t="s">
        <v>127</v>
      </c>
      <c r="E307" s="2"/>
    </row>
    <row r="308" spans="1:5" ht="27" customHeight="1">
      <c r="A308" s="14">
        <v>44070.166666666664</v>
      </c>
      <c r="B308" s="5">
        <f>1531.833*1000000/4046.8564224</f>
        <v>378524.17780899227</v>
      </c>
      <c r="C308" s="6" t="s">
        <v>126</v>
      </c>
      <c r="D308" s="7" t="s">
        <v>127</v>
      </c>
      <c r="E308" s="2"/>
    </row>
    <row r="309" spans="1:5" ht="27" customHeight="1">
      <c r="A309" s="14">
        <v>44070.208333333336</v>
      </c>
      <c r="B309" s="5">
        <f>1531.833*1000000/4046.8564224</f>
        <v>378524.17780899227</v>
      </c>
      <c r="C309" s="6" t="s">
        <v>126</v>
      </c>
      <c r="D309" s="7" t="s">
        <v>127</v>
      </c>
      <c r="E309" s="2"/>
    </row>
    <row r="310" spans="1:5" ht="27" customHeight="1">
      <c r="A310" s="14">
        <v>44070.25</v>
      </c>
      <c r="B310" s="5">
        <f>1531.841*1000000/4046.8564224</f>
        <v>378526.154652044</v>
      </c>
      <c r="C310" s="6" t="s">
        <v>126</v>
      </c>
      <c r="D310" s="7" t="s">
        <v>127</v>
      </c>
      <c r="E310" s="2"/>
    </row>
    <row r="311" spans="1:5" ht="27" customHeight="1">
      <c r="A311" s="14">
        <v>44070.291666666664</v>
      </c>
      <c r="B311" s="5">
        <f>1531.841*1000000/4046.8564224</f>
        <v>378526.154652044</v>
      </c>
      <c r="C311" s="6" t="s">
        <v>126</v>
      </c>
      <c r="D311" s="7" t="s">
        <v>127</v>
      </c>
      <c r="E311" s="2"/>
    </row>
    <row r="312" spans="1:5" ht="48" customHeight="1">
      <c r="A312" s="14">
        <v>44070.3125</v>
      </c>
      <c r="B312" s="8">
        <v>363220</v>
      </c>
      <c r="C312" s="6" t="s">
        <v>9</v>
      </c>
      <c r="D312" s="7" t="s">
        <v>10</v>
      </c>
      <c r="E312" s="2" t="s">
        <v>239</v>
      </c>
    </row>
    <row r="313" spans="1:5" ht="27" customHeight="1">
      <c r="A313" s="14">
        <v>44070.333333333336</v>
      </c>
      <c r="B313" s="5">
        <f>1531.841*1000000/4046.8564224</f>
        <v>378526.154652044</v>
      </c>
      <c r="C313" s="6" t="s">
        <v>126</v>
      </c>
      <c r="D313" s="7" t="s">
        <v>127</v>
      </c>
      <c r="E313" s="2"/>
    </row>
    <row r="314" spans="1:5" ht="27" customHeight="1">
      <c r="A314" s="14">
        <v>44070.375</v>
      </c>
      <c r="B314" s="5">
        <f>1531.841*1000000/4046.8564224</f>
        <v>378526.154652044</v>
      </c>
      <c r="C314" s="6" t="s">
        <v>126</v>
      </c>
      <c r="D314" s="7" t="s">
        <v>127</v>
      </c>
      <c r="E314" s="2"/>
    </row>
    <row r="315" spans="1:5" ht="27" customHeight="1">
      <c r="A315" s="14">
        <v>44070.416666666664</v>
      </c>
      <c r="B315" s="5">
        <f>1531.841*1000000/4046.8564224</f>
        <v>378526.154652044</v>
      </c>
      <c r="C315" s="6" t="s">
        <v>126</v>
      </c>
      <c r="D315" s="7" t="s">
        <v>127</v>
      </c>
      <c r="E315" s="2"/>
    </row>
    <row r="316" spans="1:5" ht="27" customHeight="1">
      <c r="A316" s="14">
        <v>44070.458333333336</v>
      </c>
      <c r="B316" s="5">
        <f>1531.841*1000000/4046.8564224</f>
        <v>378526.154652044</v>
      </c>
      <c r="C316" s="6" t="s">
        <v>126</v>
      </c>
      <c r="D316" s="7" t="s">
        <v>127</v>
      </c>
      <c r="E316" s="2"/>
    </row>
    <row r="317" spans="1:5" ht="62.05" customHeight="1">
      <c r="A317" s="16">
        <v>44070.5</v>
      </c>
      <c r="B317" s="5">
        <f>1298.7201495582*1000000/4046.8564224</f>
        <v>320920.73797567305</v>
      </c>
      <c r="C317" s="6" t="s">
        <v>240</v>
      </c>
      <c r="D317" s="7" t="s">
        <v>132</v>
      </c>
      <c r="E317" s="2" t="s">
        <v>241</v>
      </c>
    </row>
    <row r="318" spans="1:5" ht="62.05" customHeight="1">
      <c r="A318" s="16">
        <v>44070.5</v>
      </c>
      <c r="B318" s="5">
        <f>231.545281289122*1000000/4046.8564224</f>
        <v>57216.085059870587</v>
      </c>
      <c r="C318" s="6" t="s">
        <v>242</v>
      </c>
      <c r="D318" s="7" t="s">
        <v>132</v>
      </c>
      <c r="E318" s="2" t="s">
        <v>243</v>
      </c>
    </row>
    <row r="319" spans="1:5" ht="27" customHeight="1">
      <c r="A319" s="14">
        <v>44070.5</v>
      </c>
      <c r="B319" s="5">
        <f>1531.841*1000000/4046.8564224</f>
        <v>378526.154652044</v>
      </c>
      <c r="C319" s="6" t="s">
        <v>126</v>
      </c>
      <c r="D319" s="7" t="s">
        <v>127</v>
      </c>
      <c r="E319" s="2"/>
    </row>
    <row r="320" spans="1:5" ht="27" customHeight="1">
      <c r="A320" s="14">
        <v>44070.541666666664</v>
      </c>
      <c r="B320" s="5">
        <f>1531.841*1000000/4046.8564224</f>
        <v>378526.154652044</v>
      </c>
      <c r="C320" s="6" t="s">
        <v>126</v>
      </c>
      <c r="D320" s="7" t="s">
        <v>127</v>
      </c>
      <c r="E320" s="2"/>
    </row>
    <row r="321" spans="1:5" ht="27" customHeight="1">
      <c r="A321" s="14">
        <v>44070.583333333336</v>
      </c>
      <c r="B321" s="5">
        <f>1531.841*1000000/4046.8564224</f>
        <v>378526.154652044</v>
      </c>
      <c r="C321" s="6" t="s">
        <v>126</v>
      </c>
      <c r="D321" s="7" t="s">
        <v>127</v>
      </c>
      <c r="E321" s="2"/>
    </row>
    <row r="322" spans="1:5" ht="27" customHeight="1">
      <c r="A322" s="14">
        <v>44070.625</v>
      </c>
      <c r="B322" s="5">
        <f>1534.867*1000000/4046.8564224</f>
        <v>379273.89553636365</v>
      </c>
      <c r="C322" s="6" t="s">
        <v>126</v>
      </c>
      <c r="D322" s="7" t="s">
        <v>127</v>
      </c>
      <c r="E322" s="2"/>
    </row>
    <row r="323" spans="1:5" ht="27" customHeight="1">
      <c r="A323" s="14">
        <v>44070.666666666664</v>
      </c>
      <c r="B323" s="5">
        <f>1534.907*1000000/4046.8564224</f>
        <v>379283.77975162235</v>
      </c>
      <c r="C323" s="6" t="s">
        <v>126</v>
      </c>
      <c r="D323" s="7" t="s">
        <v>127</v>
      </c>
      <c r="E323" s="2"/>
    </row>
    <row r="324" spans="1:5" ht="27" customHeight="1">
      <c r="A324" s="14">
        <v>44070.708333333336</v>
      </c>
      <c r="B324" s="5">
        <f>1534.941*1000000/4046.8564224</f>
        <v>379292.18133459223</v>
      </c>
      <c r="C324" s="6" t="s">
        <v>126</v>
      </c>
      <c r="D324" s="7" t="s">
        <v>127</v>
      </c>
      <c r="E324" s="2"/>
    </row>
    <row r="325" spans="1:5" ht="27" customHeight="1">
      <c r="A325" s="14">
        <v>44070.75</v>
      </c>
      <c r="B325" s="5">
        <f>1536.649*1000000/4046.8564224</f>
        <v>379714.23732613813</v>
      </c>
      <c r="C325" s="6" t="s">
        <v>126</v>
      </c>
      <c r="D325" s="7" t="s">
        <v>127</v>
      </c>
      <c r="E325" s="2"/>
    </row>
    <row r="326" spans="1:5" ht="27" customHeight="1">
      <c r="A326" s="14">
        <v>44070.791666666664</v>
      </c>
      <c r="B326" s="5">
        <f>1536.697*1000000/4046.8564224</f>
        <v>379726.09838444856</v>
      </c>
      <c r="C326" s="6" t="s">
        <v>126</v>
      </c>
      <c r="D326" s="7" t="s">
        <v>127</v>
      </c>
      <c r="E326" s="2"/>
    </row>
    <row r="327" spans="1:5" ht="48" customHeight="1">
      <c r="A327" s="14">
        <v>44070.791666666664</v>
      </c>
      <c r="B327" s="8">
        <v>363220</v>
      </c>
      <c r="C327" s="6" t="s">
        <v>9</v>
      </c>
      <c r="D327" s="7" t="s">
        <v>10</v>
      </c>
      <c r="E327" s="2" t="s">
        <v>244</v>
      </c>
    </row>
    <row r="328" spans="1:5" ht="27" customHeight="1">
      <c r="A328" s="14">
        <v>44070.833333333336</v>
      </c>
      <c r="B328" s="5">
        <f>1536.697*1000000/4046.8564224</f>
        <v>379726.09838444856</v>
      </c>
      <c r="C328" s="6" t="s">
        <v>126</v>
      </c>
      <c r="D328" s="7" t="s">
        <v>127</v>
      </c>
      <c r="E328" s="2"/>
    </row>
    <row r="329" spans="1:5" ht="27" customHeight="1">
      <c r="A329" s="14">
        <v>44070.875</v>
      </c>
      <c r="B329" s="5">
        <f>1536.697*1000000/4046.8564224</f>
        <v>379726.09838444856</v>
      </c>
      <c r="C329" s="6" t="s">
        <v>126</v>
      </c>
      <c r="D329" s="7" t="s">
        <v>127</v>
      </c>
      <c r="E329" s="2"/>
    </row>
    <row r="330" spans="1:5" ht="27" customHeight="1">
      <c r="A330" s="14">
        <v>44070.916666666664</v>
      </c>
      <c r="B330" s="5">
        <f>1536.697*1000000/4046.8564224</f>
        <v>379726.09838444856</v>
      </c>
      <c r="C330" s="6" t="s">
        <v>126</v>
      </c>
      <c r="D330" s="7" t="s">
        <v>127</v>
      </c>
      <c r="E330" s="2"/>
    </row>
    <row r="331" spans="1:5" ht="27" customHeight="1">
      <c r="A331" s="14">
        <v>44070.958333333336</v>
      </c>
      <c r="B331" s="5">
        <f>1536.697*1000000/4046.8564224</f>
        <v>379726.09838444856</v>
      </c>
      <c r="C331" s="6" t="s">
        <v>126</v>
      </c>
      <c r="D331" s="7" t="s">
        <v>127</v>
      </c>
      <c r="E331" s="2"/>
    </row>
    <row r="332" spans="1:5" ht="76" customHeight="1">
      <c r="A332" s="17">
        <v>44071</v>
      </c>
      <c r="B332" s="5">
        <v>2360.2513545261231</v>
      </c>
      <c r="C332" s="6" t="s">
        <v>245</v>
      </c>
      <c r="D332" s="7" t="s">
        <v>246</v>
      </c>
      <c r="E332" s="2" t="s">
        <v>247</v>
      </c>
    </row>
    <row r="333" spans="1:5" ht="76" customHeight="1">
      <c r="A333" s="17">
        <v>44071</v>
      </c>
      <c r="B333" s="5">
        <v>55313.347931135584</v>
      </c>
      <c r="C333" s="6" t="s">
        <v>248</v>
      </c>
      <c r="D333" s="7" t="s">
        <v>249</v>
      </c>
      <c r="E333" s="2" t="s">
        <v>250</v>
      </c>
    </row>
    <row r="334" spans="1:5" ht="76" customHeight="1">
      <c r="A334" s="17">
        <v>44071</v>
      </c>
      <c r="B334" s="5">
        <v>312255.03001785418</v>
      </c>
      <c r="C334" s="6" t="s">
        <v>251</v>
      </c>
      <c r="D334" s="7" t="s">
        <v>246</v>
      </c>
      <c r="E334" s="2" t="s">
        <v>252</v>
      </c>
    </row>
    <row r="335" spans="1:5" ht="62.05" customHeight="1">
      <c r="A335" s="15">
        <v>44071</v>
      </c>
      <c r="B335" s="5">
        <f>1304.50247448511*1000000/4046.8564224</f>
        <v>322349.58158250421</v>
      </c>
      <c r="C335" s="6" t="s">
        <v>253</v>
      </c>
      <c r="D335" s="7" t="s">
        <v>132</v>
      </c>
      <c r="E335" s="2" t="s">
        <v>254</v>
      </c>
    </row>
    <row r="336" spans="1:5" ht="62.05" customHeight="1">
      <c r="A336" s="15">
        <v>44071</v>
      </c>
      <c r="B336" s="5">
        <f>231.545281291451*1000000/4046.8564224</f>
        <v>57216.085060446101</v>
      </c>
      <c r="C336" s="6" t="s">
        <v>255</v>
      </c>
      <c r="D336" s="7" t="s">
        <v>132</v>
      </c>
      <c r="E336" s="2" t="s">
        <v>256</v>
      </c>
    </row>
    <row r="337" spans="1:5" ht="27" customHeight="1">
      <c r="A337" s="14">
        <v>44071</v>
      </c>
      <c r="B337" s="5">
        <f t="shared" ref="B337:B344" si="5">1536.697*1000000/4046.8564224</f>
        <v>379726.09838444856</v>
      </c>
      <c r="C337" s="6" t="s">
        <v>126</v>
      </c>
      <c r="D337" s="7" t="s">
        <v>127</v>
      </c>
      <c r="E337" s="2"/>
    </row>
    <row r="338" spans="1:5" ht="27" customHeight="1">
      <c r="A338" s="14">
        <v>44071.041666666664</v>
      </c>
      <c r="B338" s="5">
        <f t="shared" si="5"/>
        <v>379726.09838444856</v>
      </c>
      <c r="C338" s="6" t="s">
        <v>126</v>
      </c>
      <c r="D338" s="7" t="s">
        <v>127</v>
      </c>
      <c r="E338" s="2"/>
    </row>
    <row r="339" spans="1:5" ht="27" customHeight="1">
      <c r="A339" s="14">
        <v>44071.083333333336</v>
      </c>
      <c r="B339" s="5">
        <f t="shared" si="5"/>
        <v>379726.09838444856</v>
      </c>
      <c r="C339" s="6" t="s">
        <v>126</v>
      </c>
      <c r="D339" s="7" t="s">
        <v>127</v>
      </c>
      <c r="E339" s="2"/>
    </row>
    <row r="340" spans="1:5" ht="27" customHeight="1">
      <c r="A340" s="14">
        <v>44071.125</v>
      </c>
      <c r="B340" s="5">
        <f t="shared" si="5"/>
        <v>379726.09838444856</v>
      </c>
      <c r="C340" s="6" t="s">
        <v>126</v>
      </c>
      <c r="D340" s="7" t="s">
        <v>127</v>
      </c>
      <c r="E340" s="2"/>
    </row>
    <row r="341" spans="1:5" ht="27" customHeight="1">
      <c r="A341" s="14">
        <v>44071.166666666664</v>
      </c>
      <c r="B341" s="5">
        <f t="shared" si="5"/>
        <v>379726.09838444856</v>
      </c>
      <c r="C341" s="6" t="s">
        <v>126</v>
      </c>
      <c r="D341" s="7" t="s">
        <v>127</v>
      </c>
      <c r="E341" s="2"/>
    </row>
    <row r="342" spans="1:5" ht="27" customHeight="1">
      <c r="A342" s="14">
        <v>44071.208333333336</v>
      </c>
      <c r="B342" s="5">
        <f t="shared" si="5"/>
        <v>379726.09838444856</v>
      </c>
      <c r="C342" s="6" t="s">
        <v>126</v>
      </c>
      <c r="D342" s="7" t="s">
        <v>127</v>
      </c>
      <c r="E342" s="2"/>
    </row>
    <row r="343" spans="1:5" ht="27" customHeight="1">
      <c r="A343" s="14">
        <v>44071.25</v>
      </c>
      <c r="B343" s="5">
        <f t="shared" si="5"/>
        <v>379726.09838444856</v>
      </c>
      <c r="C343" s="6" t="s">
        <v>126</v>
      </c>
      <c r="D343" s="7" t="s">
        <v>127</v>
      </c>
      <c r="E343" s="2"/>
    </row>
    <row r="344" spans="1:5" ht="27" customHeight="1">
      <c r="A344" s="14">
        <v>44071.291666666664</v>
      </c>
      <c r="B344" s="5">
        <f t="shared" si="5"/>
        <v>379726.09838444856</v>
      </c>
      <c r="C344" s="6" t="s">
        <v>126</v>
      </c>
      <c r="D344" s="7" t="s">
        <v>127</v>
      </c>
      <c r="E344" s="2"/>
    </row>
    <row r="345" spans="1:5" ht="48" customHeight="1">
      <c r="A345" s="14">
        <v>44071.3125</v>
      </c>
      <c r="B345" s="8">
        <v>363220</v>
      </c>
      <c r="C345" s="6" t="s">
        <v>9</v>
      </c>
      <c r="D345" s="7" t="s">
        <v>10</v>
      </c>
      <c r="E345" s="2" t="s">
        <v>244</v>
      </c>
    </row>
    <row r="346" spans="1:5" ht="27" customHeight="1">
      <c r="A346" s="14">
        <v>44071.333333333336</v>
      </c>
      <c r="B346" s="5">
        <f>1536.697*1000000/4046.8564224</f>
        <v>379726.09838444856</v>
      </c>
      <c r="C346" s="6" t="s">
        <v>126</v>
      </c>
      <c r="D346" s="7" t="s">
        <v>127</v>
      </c>
      <c r="E346" s="2"/>
    </row>
    <row r="347" spans="1:5" ht="27" customHeight="1">
      <c r="A347" s="14">
        <v>44071.375</v>
      </c>
      <c r="B347" s="5">
        <f>1536.697*1000000/4046.8564224</f>
        <v>379726.09838444856</v>
      </c>
      <c r="C347" s="6" t="s">
        <v>126</v>
      </c>
      <c r="D347" s="7" t="s">
        <v>127</v>
      </c>
      <c r="E347" s="2"/>
    </row>
    <row r="348" spans="1:5" ht="27" customHeight="1">
      <c r="A348" s="14">
        <v>44071.416666666664</v>
      </c>
      <c r="B348" s="5">
        <f>1536.697*1000000/4046.8564224</f>
        <v>379726.09838444856</v>
      </c>
      <c r="C348" s="6" t="s">
        <v>126</v>
      </c>
      <c r="D348" s="7" t="s">
        <v>127</v>
      </c>
      <c r="E348" s="2"/>
    </row>
    <row r="349" spans="1:5" ht="27" customHeight="1">
      <c r="A349" s="14">
        <v>44071.458333333336</v>
      </c>
      <c r="B349" s="5">
        <f>1536.697*1000000/4046.8564224</f>
        <v>379726.09838444856</v>
      </c>
      <c r="C349" s="6" t="s">
        <v>126</v>
      </c>
      <c r="D349" s="7" t="s">
        <v>127</v>
      </c>
      <c r="E349" s="2"/>
    </row>
    <row r="350" spans="1:5" ht="62.05" customHeight="1">
      <c r="A350" s="16">
        <v>44071.5</v>
      </c>
      <c r="B350" s="5">
        <f>1305.3206856854*1000000/4046.8564224</f>
        <v>322551.76597327256</v>
      </c>
      <c r="C350" s="6" t="s">
        <v>257</v>
      </c>
      <c r="D350" s="7" t="s">
        <v>132</v>
      </c>
      <c r="E350" s="2" t="s">
        <v>258</v>
      </c>
    </row>
    <row r="351" spans="1:5" ht="62.05" customHeight="1">
      <c r="A351" s="16">
        <v>44071.5</v>
      </c>
      <c r="B351" s="5">
        <f>232.533945065362*1000000/4046.8564224</f>
        <v>57460.389199441139</v>
      </c>
      <c r="C351" s="6" t="s">
        <v>259</v>
      </c>
      <c r="D351" s="7" t="s">
        <v>132</v>
      </c>
      <c r="E351" s="2" t="s">
        <v>260</v>
      </c>
    </row>
    <row r="352" spans="1:5" ht="27" customHeight="1">
      <c r="A352" s="14">
        <v>44071.5</v>
      </c>
      <c r="B352" s="5">
        <f>1536.697*1000000/4046.8564224</f>
        <v>379726.09838444856</v>
      </c>
      <c r="C352" s="6" t="s">
        <v>126</v>
      </c>
      <c r="D352" s="7" t="s">
        <v>127</v>
      </c>
      <c r="E352" s="2"/>
    </row>
    <row r="353" spans="1:5" ht="27" customHeight="1">
      <c r="A353" s="14">
        <v>44071.541666666664</v>
      </c>
      <c r="B353" s="5">
        <f>1537.6*1000000/4046.8564224</f>
        <v>379949.23454391339</v>
      </c>
      <c r="C353" s="6" t="s">
        <v>126</v>
      </c>
      <c r="D353" s="7" t="s">
        <v>127</v>
      </c>
      <c r="E353" s="2"/>
    </row>
    <row r="354" spans="1:5" ht="27" customHeight="1">
      <c r="A354" s="14">
        <v>44071.583333333336</v>
      </c>
      <c r="B354" s="5">
        <f>1538.751*1000000/4046.8564224</f>
        <v>380233.65283798211</v>
      </c>
      <c r="C354" s="6" t="s">
        <v>126</v>
      </c>
      <c r="D354" s="7" t="s">
        <v>127</v>
      </c>
      <c r="E354" s="2"/>
    </row>
    <row r="355" spans="1:5" ht="48" customHeight="1">
      <c r="A355" s="14">
        <v>44071.8125</v>
      </c>
      <c r="B355" s="8">
        <v>363220</v>
      </c>
      <c r="C355" s="6" t="s">
        <v>9</v>
      </c>
      <c r="D355" s="7" t="s">
        <v>10</v>
      </c>
      <c r="E355" s="2" t="s">
        <v>244</v>
      </c>
    </row>
    <row r="356" spans="1:5" ht="62.05" customHeight="1">
      <c r="A356" s="15">
        <v>44072</v>
      </c>
      <c r="B356" s="5">
        <f>1309.84051823024*1000000/4046.8564224</f>
        <v>323668.64091843297</v>
      </c>
      <c r="C356" s="6" t="s">
        <v>261</v>
      </c>
      <c r="D356" s="7" t="s">
        <v>132</v>
      </c>
      <c r="E356" s="2" t="s">
        <v>262</v>
      </c>
    </row>
    <row r="357" spans="1:5" ht="62.05" customHeight="1">
      <c r="A357" s="15">
        <v>44072</v>
      </c>
      <c r="B357" s="5">
        <f>233.714298277623*1000000/4046.8564224</f>
        <v>57752.060830222894</v>
      </c>
      <c r="C357" s="6" t="s">
        <v>263</v>
      </c>
      <c r="D357" s="7" t="s">
        <v>132</v>
      </c>
      <c r="E357" s="2" t="s">
        <v>264</v>
      </c>
    </row>
    <row r="358" spans="1:5" ht="48" customHeight="1">
      <c r="A358" s="14">
        <v>44072.322916666664</v>
      </c>
      <c r="B358" s="8">
        <v>363220</v>
      </c>
      <c r="C358" s="6" t="s">
        <v>9</v>
      </c>
      <c r="D358" s="7" t="s">
        <v>10</v>
      </c>
      <c r="E358" s="2" t="s">
        <v>265</v>
      </c>
    </row>
    <row r="359" spans="1:5" ht="62.05" customHeight="1">
      <c r="A359" s="16">
        <v>44072.5</v>
      </c>
      <c r="B359" s="5">
        <f>1310.80026839502*1000000/4046.8564224</f>
        <v>323905.80034901411</v>
      </c>
      <c r="C359" s="6" t="s">
        <v>266</v>
      </c>
      <c r="D359" s="7" t="s">
        <v>132</v>
      </c>
      <c r="E359" s="2" t="s">
        <v>267</v>
      </c>
    </row>
    <row r="360" spans="1:5" ht="48" customHeight="1">
      <c r="A360" s="14">
        <v>44072.802083333336</v>
      </c>
      <c r="B360" s="8">
        <v>363220</v>
      </c>
      <c r="C360" s="6" t="s">
        <v>9</v>
      </c>
      <c r="D360" s="7" t="s">
        <v>10</v>
      </c>
      <c r="E360" s="2" t="s">
        <v>268</v>
      </c>
    </row>
    <row r="361" spans="1:5" ht="62.05" customHeight="1">
      <c r="A361" s="15">
        <v>44073</v>
      </c>
      <c r="B361" s="5">
        <f>1310.80026839502*1000000/4046.8564224</f>
        <v>323905.80034901411</v>
      </c>
      <c r="C361" s="6" t="s">
        <v>269</v>
      </c>
      <c r="D361" s="7" t="s">
        <v>132</v>
      </c>
      <c r="E361" s="2" t="s">
        <v>270</v>
      </c>
    </row>
    <row r="362" spans="1:5" ht="48" customHeight="1">
      <c r="A362" s="14">
        <v>44073.3125</v>
      </c>
      <c r="B362" s="8">
        <v>363220</v>
      </c>
      <c r="C362" s="6" t="s">
        <v>9</v>
      </c>
      <c r="D362" s="7" t="s">
        <v>10</v>
      </c>
      <c r="E362" s="2" t="s">
        <v>271</v>
      </c>
    </row>
    <row r="363" spans="1:5" ht="62.05" customHeight="1">
      <c r="A363" s="16">
        <v>44073.5</v>
      </c>
      <c r="B363" s="5">
        <f>1310.80026839502*1000000/4046.8564224</f>
        <v>323905.80034901411</v>
      </c>
      <c r="C363" s="6" t="s">
        <v>272</v>
      </c>
      <c r="D363" s="7" t="s">
        <v>132</v>
      </c>
      <c r="E363" s="2" t="s">
        <v>267</v>
      </c>
    </row>
    <row r="364" spans="1:5" ht="48" customHeight="1">
      <c r="A364" s="14">
        <v>44073.8125</v>
      </c>
      <c r="B364" s="8">
        <v>363220</v>
      </c>
      <c r="C364" s="6" t="s">
        <v>9</v>
      </c>
      <c r="D364" s="7" t="s">
        <v>10</v>
      </c>
      <c r="E364" s="2" t="s">
        <v>273</v>
      </c>
    </row>
    <row r="365" spans="1:5" ht="62.05" customHeight="1">
      <c r="A365" s="15">
        <v>44074</v>
      </c>
      <c r="B365" s="5">
        <f>1310.80026839502*1000000/4046.8564224</f>
        <v>323905.80034901411</v>
      </c>
      <c r="C365" s="6" t="s">
        <v>274</v>
      </c>
      <c r="D365" s="7" t="s">
        <v>132</v>
      </c>
      <c r="E365" s="2" t="s">
        <v>270</v>
      </c>
    </row>
    <row r="366" spans="1:5" ht="48" customHeight="1">
      <c r="A366" s="14">
        <v>44074.3125</v>
      </c>
      <c r="B366" s="8">
        <v>363220</v>
      </c>
      <c r="C366" s="6" t="s">
        <v>9</v>
      </c>
      <c r="D366" s="7" t="s">
        <v>10</v>
      </c>
      <c r="E366" s="2" t="s">
        <v>275</v>
      </c>
    </row>
    <row r="367" spans="1:5" ht="62.05" customHeight="1">
      <c r="A367" s="16">
        <v>44074.5</v>
      </c>
      <c r="B367" s="5">
        <f>1310.80026839502*1000000/4046.8564224</f>
        <v>323905.80034901411</v>
      </c>
      <c r="C367" s="6" t="s">
        <v>276</v>
      </c>
      <c r="D367" s="7" t="s">
        <v>132</v>
      </c>
      <c r="E367" s="2" t="s">
        <v>267</v>
      </c>
    </row>
    <row r="368" spans="1:5" ht="48" customHeight="1">
      <c r="A368" s="14">
        <v>44074.822916666664</v>
      </c>
      <c r="B368" s="8">
        <v>363220</v>
      </c>
      <c r="C368" s="6" t="s">
        <v>9</v>
      </c>
      <c r="D368" s="7" t="s">
        <v>10</v>
      </c>
      <c r="E368" s="2" t="s">
        <v>277</v>
      </c>
    </row>
    <row r="369" spans="1:5" ht="62.05" customHeight="1">
      <c r="A369" s="15">
        <v>44075</v>
      </c>
      <c r="B369" s="5">
        <f>1310.80026839502*1000000/4046.8564224</f>
        <v>323905.80034901411</v>
      </c>
      <c r="C369" s="6" t="s">
        <v>278</v>
      </c>
      <c r="D369" s="7" t="s">
        <v>132</v>
      </c>
      <c r="E369" s="2" t="s">
        <v>270</v>
      </c>
    </row>
    <row r="370" spans="1:5" ht="62.05" customHeight="1">
      <c r="A370" s="14">
        <v>44075.291666666664</v>
      </c>
      <c r="B370" s="8">
        <v>317909</v>
      </c>
      <c r="C370" s="6" t="s">
        <v>279</v>
      </c>
      <c r="D370" s="7" t="s">
        <v>280</v>
      </c>
      <c r="E370" s="2" t="s">
        <v>281</v>
      </c>
    </row>
    <row r="371" spans="1:5" ht="62.05" customHeight="1">
      <c r="A371" s="14">
        <v>44075.291666666664</v>
      </c>
      <c r="B371" s="8">
        <v>2360</v>
      </c>
      <c r="C371" s="6" t="s">
        <v>282</v>
      </c>
      <c r="D371" s="7" t="s">
        <v>280</v>
      </c>
      <c r="E371" s="2" t="s">
        <v>283</v>
      </c>
    </row>
    <row r="372" spans="1:5" ht="62.05" customHeight="1">
      <c r="A372" s="14">
        <v>44075.291666666664</v>
      </c>
      <c r="B372" s="8">
        <v>54940</v>
      </c>
      <c r="C372" s="6" t="s">
        <v>284</v>
      </c>
      <c r="D372" s="7" t="s">
        <v>280</v>
      </c>
      <c r="E372" s="2" t="s">
        <v>285</v>
      </c>
    </row>
    <row r="373" spans="1:5" ht="62.05" customHeight="1">
      <c r="A373" s="14">
        <v>44075.291666666664</v>
      </c>
      <c r="B373" s="8">
        <v>375209</v>
      </c>
      <c r="C373" s="6" t="s">
        <v>286</v>
      </c>
      <c r="D373" s="7" t="s">
        <v>280</v>
      </c>
      <c r="E373" s="2" t="s">
        <v>287</v>
      </c>
    </row>
    <row r="374" spans="1:5" ht="48" customHeight="1">
      <c r="A374" s="14">
        <v>44075.322916666664</v>
      </c>
      <c r="B374" s="8">
        <v>363220</v>
      </c>
      <c r="C374" s="6" t="s">
        <v>9</v>
      </c>
      <c r="D374" s="7" t="s">
        <v>10</v>
      </c>
      <c r="E374" s="2" t="s">
        <v>288</v>
      </c>
    </row>
    <row r="375" spans="1:5" ht="62.05" customHeight="1">
      <c r="A375" s="16">
        <v>44075.5</v>
      </c>
      <c r="B375" s="5">
        <f>1310.80026839502*1000000/4046.8564224</f>
        <v>323905.80034901411</v>
      </c>
      <c r="C375" s="6" t="s">
        <v>289</v>
      </c>
      <c r="D375" s="7" t="s">
        <v>132</v>
      </c>
      <c r="E375" s="2" t="s">
        <v>267</v>
      </c>
    </row>
    <row r="376" spans="1:5" ht="48" customHeight="1">
      <c r="A376" s="14">
        <v>44075.78125</v>
      </c>
      <c r="B376" s="8">
        <v>363220</v>
      </c>
      <c r="C376" s="6" t="s">
        <v>9</v>
      </c>
      <c r="D376" s="7" t="s">
        <v>10</v>
      </c>
      <c r="E376" s="2" t="s">
        <v>290</v>
      </c>
    </row>
    <row r="377" spans="1:5" ht="48" customHeight="1">
      <c r="A377" s="14">
        <v>44076.3125</v>
      </c>
      <c r="B377" s="8">
        <v>363220</v>
      </c>
      <c r="C377" s="6" t="s">
        <v>9</v>
      </c>
      <c r="D377" s="7" t="s">
        <v>10</v>
      </c>
      <c r="E377" s="2" t="s">
        <v>291</v>
      </c>
    </row>
    <row r="378" spans="1:5" ht="48" customHeight="1">
      <c r="A378" s="14">
        <v>44076.833333333336</v>
      </c>
      <c r="B378" s="8">
        <v>363220</v>
      </c>
      <c r="C378" s="6" t="s">
        <v>9</v>
      </c>
      <c r="D378" s="7" t="s">
        <v>10</v>
      </c>
      <c r="E378" s="2" t="s">
        <v>292</v>
      </c>
    </row>
    <row r="379" spans="1:5" ht="76" customHeight="1">
      <c r="A379" s="9">
        <v>44077</v>
      </c>
      <c r="B379" s="5"/>
      <c r="C379" s="6" t="s">
        <v>293</v>
      </c>
      <c r="D379" s="7" t="s">
        <v>294</v>
      </c>
      <c r="E379" s="2" t="s">
        <v>295</v>
      </c>
    </row>
    <row r="380" spans="1:5" ht="48" customHeight="1">
      <c r="A380" s="14">
        <v>44077.3125</v>
      </c>
      <c r="B380" s="8">
        <v>363220</v>
      </c>
      <c r="C380" s="6" t="s">
        <v>9</v>
      </c>
      <c r="D380" s="7" t="s">
        <v>10</v>
      </c>
      <c r="E380" s="2" t="s">
        <v>296</v>
      </c>
    </row>
    <row r="381" spans="1:5" ht="48" customHeight="1">
      <c r="A381" s="14">
        <v>44077.791666666664</v>
      </c>
      <c r="B381" s="8">
        <v>363220</v>
      </c>
      <c r="C381" s="6" t="s">
        <v>9</v>
      </c>
      <c r="D381" s="7" t="s">
        <v>10</v>
      </c>
      <c r="E381" s="2" t="s">
        <v>297</v>
      </c>
    </row>
    <row r="382" spans="1:5" ht="48" customHeight="1">
      <c r="A382" s="14">
        <v>44078.3125</v>
      </c>
      <c r="B382" s="8">
        <v>363220</v>
      </c>
      <c r="C382" s="6" t="s">
        <v>9</v>
      </c>
      <c r="D382" s="7" t="s">
        <v>10</v>
      </c>
      <c r="E382" s="2" t="s">
        <v>298</v>
      </c>
    </row>
    <row r="383" spans="1:5" ht="48" customHeight="1">
      <c r="A383" s="14">
        <v>44078.802083333336</v>
      </c>
      <c r="B383" s="8">
        <v>363220</v>
      </c>
      <c r="C383" s="6" t="s">
        <v>9</v>
      </c>
      <c r="D383" s="7" t="s">
        <v>10</v>
      </c>
      <c r="E383" s="2" t="s">
        <v>299</v>
      </c>
    </row>
    <row r="384" spans="1:5" ht="48" customHeight="1">
      <c r="A384" s="14">
        <v>44079.302083333336</v>
      </c>
      <c r="B384" s="8">
        <v>363220</v>
      </c>
      <c r="C384" s="6" t="s">
        <v>9</v>
      </c>
      <c r="D384" s="7" t="s">
        <v>10</v>
      </c>
      <c r="E384" s="2" t="s">
        <v>300</v>
      </c>
    </row>
    <row r="385" spans="1:5" ht="48" customHeight="1">
      <c r="A385" s="14">
        <v>44079.8125</v>
      </c>
      <c r="B385" s="8">
        <v>363220</v>
      </c>
      <c r="C385" s="6" t="s">
        <v>9</v>
      </c>
      <c r="D385" s="7" t="s">
        <v>10</v>
      </c>
      <c r="E385" s="2" t="s">
        <v>300</v>
      </c>
    </row>
    <row r="386" spans="1:5" ht="48" customHeight="1">
      <c r="A386" s="14">
        <v>44080.3125</v>
      </c>
      <c r="B386" s="8">
        <v>363220</v>
      </c>
      <c r="C386" s="6" t="s">
        <v>9</v>
      </c>
      <c r="D386" s="7" t="s">
        <v>10</v>
      </c>
      <c r="E386" s="2" t="s">
        <v>300</v>
      </c>
    </row>
    <row r="387" spans="1:5" ht="48" customHeight="1">
      <c r="A387" s="14">
        <v>44080.791666666664</v>
      </c>
      <c r="B387" s="8">
        <v>363220</v>
      </c>
      <c r="C387" s="6" t="s">
        <v>9</v>
      </c>
      <c r="D387" s="7" t="s">
        <v>10</v>
      </c>
      <c r="E387" s="2" t="s">
        <v>301</v>
      </c>
    </row>
    <row r="388" spans="1:5" ht="48" customHeight="1">
      <c r="A388" s="14">
        <v>44081.3125</v>
      </c>
      <c r="B388" s="8">
        <v>363220</v>
      </c>
      <c r="C388" s="6" t="s">
        <v>9</v>
      </c>
      <c r="D388" s="7" t="s">
        <v>10</v>
      </c>
      <c r="E388" s="2" t="s">
        <v>302</v>
      </c>
    </row>
    <row r="389" spans="1:5" ht="48" customHeight="1">
      <c r="A389" s="14">
        <v>44081.770833333336</v>
      </c>
      <c r="B389" s="8">
        <v>363220</v>
      </c>
      <c r="C389" s="6" t="s">
        <v>9</v>
      </c>
      <c r="D389" s="7" t="s">
        <v>10</v>
      </c>
      <c r="E389" s="2" t="s">
        <v>302</v>
      </c>
    </row>
    <row r="390" spans="1:5" ht="48" customHeight="1">
      <c r="A390" s="14">
        <v>44082.322916666664</v>
      </c>
      <c r="B390" s="8">
        <v>363220</v>
      </c>
      <c r="C390" s="6" t="s">
        <v>9</v>
      </c>
      <c r="D390" s="7" t="s">
        <v>10</v>
      </c>
      <c r="E390" s="2" t="s">
        <v>302</v>
      </c>
    </row>
    <row r="391" spans="1:5" ht="48" customHeight="1">
      <c r="A391" s="14">
        <v>44082.802083333336</v>
      </c>
      <c r="B391" s="8">
        <v>363220</v>
      </c>
      <c r="C391" s="6" t="s">
        <v>9</v>
      </c>
      <c r="D391" s="7" t="s">
        <v>10</v>
      </c>
      <c r="E391" s="2" t="s">
        <v>302</v>
      </c>
    </row>
    <row r="392" spans="1:5" ht="48" customHeight="1">
      <c r="A392" s="14">
        <v>44083.291666666664</v>
      </c>
      <c r="B392" s="8">
        <v>363220</v>
      </c>
      <c r="C392" s="6" t="s">
        <v>9</v>
      </c>
      <c r="D392" s="7" t="s">
        <v>10</v>
      </c>
      <c r="E392" s="2" t="s">
        <v>303</v>
      </c>
    </row>
    <row r="393" spans="1:5" ht="48" customHeight="1">
      <c r="A393" s="14">
        <v>44083.729166666664</v>
      </c>
      <c r="B393" s="8">
        <v>363220</v>
      </c>
      <c r="C393" s="6" t="s">
        <v>9</v>
      </c>
      <c r="D393" s="7" t="s">
        <v>10</v>
      </c>
      <c r="E393" s="2" t="s">
        <v>304</v>
      </c>
    </row>
    <row r="394" spans="1:5" ht="48" customHeight="1">
      <c r="A394" s="14">
        <v>44084.302083333336</v>
      </c>
      <c r="B394" s="8">
        <v>363220</v>
      </c>
      <c r="C394" s="6" t="s">
        <v>9</v>
      </c>
      <c r="D394" s="7" t="s">
        <v>10</v>
      </c>
      <c r="E394" s="2" t="s">
        <v>305</v>
      </c>
    </row>
    <row r="395" spans="1:5" ht="48" customHeight="1">
      <c r="A395" s="14">
        <v>44084.729166666664</v>
      </c>
      <c r="B395" s="8">
        <v>363220</v>
      </c>
      <c r="C395" s="6" t="s">
        <v>9</v>
      </c>
      <c r="D395" s="7" t="s">
        <v>10</v>
      </c>
      <c r="E395" s="2" t="s">
        <v>306</v>
      </c>
    </row>
    <row r="396" spans="1:5" ht="48" customHeight="1">
      <c r="A396" s="14">
        <v>44085.34375</v>
      </c>
      <c r="B396" s="8">
        <v>363220</v>
      </c>
      <c r="C396" s="6" t="s">
        <v>9</v>
      </c>
      <c r="D396" s="7" t="s">
        <v>10</v>
      </c>
      <c r="E396" s="2" t="s">
        <v>306</v>
      </c>
    </row>
    <row r="397" spans="1:5" ht="48" customHeight="1">
      <c r="A397" s="14">
        <v>44085.822916666664</v>
      </c>
      <c r="B397" s="8">
        <v>363220</v>
      </c>
      <c r="C397" s="6" t="s">
        <v>9</v>
      </c>
      <c r="D397" s="7" t="s">
        <v>10</v>
      </c>
      <c r="E397" s="2" t="s">
        <v>306</v>
      </c>
    </row>
    <row r="398" spans="1:5" ht="48" customHeight="1">
      <c r="A398" s="14">
        <v>44086.8125</v>
      </c>
      <c r="B398" s="8">
        <v>363220</v>
      </c>
      <c r="C398" s="6" t="s">
        <v>9</v>
      </c>
      <c r="D398" s="7" t="s">
        <v>10</v>
      </c>
      <c r="E398" s="2" t="s">
        <v>307</v>
      </c>
    </row>
    <row r="399" spans="1:5" ht="48" customHeight="1">
      <c r="A399" s="14">
        <v>44086.822916666664</v>
      </c>
      <c r="B399" s="8">
        <v>363220</v>
      </c>
      <c r="C399" s="6" t="s">
        <v>9</v>
      </c>
      <c r="D399" s="7" t="s">
        <v>10</v>
      </c>
      <c r="E399" s="2" t="s">
        <v>307</v>
      </c>
    </row>
    <row r="400" spans="1:5" ht="48" customHeight="1">
      <c r="A400" s="14">
        <v>44087.78125</v>
      </c>
      <c r="B400" s="8">
        <v>363220</v>
      </c>
      <c r="C400" s="6" t="s">
        <v>9</v>
      </c>
      <c r="D400" s="7" t="s">
        <v>10</v>
      </c>
      <c r="E400" s="2" t="s">
        <v>307</v>
      </c>
    </row>
    <row r="401" spans="1:5" ht="48" customHeight="1">
      <c r="A401" s="14">
        <v>44087.822916666664</v>
      </c>
      <c r="B401" s="8">
        <v>363220</v>
      </c>
      <c r="C401" s="6" t="s">
        <v>9</v>
      </c>
      <c r="D401" s="7" t="s">
        <v>10</v>
      </c>
      <c r="E401" s="2" t="s">
        <v>307</v>
      </c>
    </row>
    <row r="402" spans="1:5" ht="48" customHeight="1">
      <c r="A402" s="14">
        <v>44088.802083333336</v>
      </c>
      <c r="B402" s="8">
        <v>363220</v>
      </c>
      <c r="C402" s="6" t="s">
        <v>9</v>
      </c>
      <c r="D402" s="7" t="s">
        <v>10</v>
      </c>
      <c r="E402" s="2" t="s">
        <v>308</v>
      </c>
    </row>
    <row r="403" spans="1:5" ht="48" customHeight="1">
      <c r="A403" s="14">
        <v>44089.8125</v>
      </c>
      <c r="B403" s="8">
        <v>363220</v>
      </c>
      <c r="C403" s="6" t="s">
        <v>9</v>
      </c>
      <c r="D403" s="7" t="s">
        <v>10</v>
      </c>
      <c r="E403" s="2" t="s">
        <v>309</v>
      </c>
    </row>
    <row r="404" spans="1:5" ht="62.05" customHeight="1">
      <c r="A404" s="9">
        <v>44090</v>
      </c>
      <c r="B404" s="8">
        <v>305651</v>
      </c>
      <c r="C404" s="6" t="s">
        <v>310</v>
      </c>
      <c r="D404" s="7" t="s">
        <v>311</v>
      </c>
      <c r="E404" s="2" t="s">
        <v>312</v>
      </c>
    </row>
    <row r="405" spans="1:5" ht="62.05" customHeight="1">
      <c r="A405" s="9">
        <v>44090</v>
      </c>
      <c r="B405" s="8">
        <v>2360</v>
      </c>
      <c r="C405" s="6" t="s">
        <v>313</v>
      </c>
      <c r="D405" s="7" t="s">
        <v>311</v>
      </c>
      <c r="E405" s="2" t="s">
        <v>314</v>
      </c>
    </row>
    <row r="406" spans="1:5" ht="62.05" customHeight="1">
      <c r="A406" s="9">
        <v>44090</v>
      </c>
      <c r="B406" s="8">
        <v>55209</v>
      </c>
      <c r="C406" s="6" t="s">
        <v>315</v>
      </c>
      <c r="D406" s="7" t="s">
        <v>311</v>
      </c>
      <c r="E406" s="2" t="s">
        <v>316</v>
      </c>
    </row>
    <row r="407" spans="1:5" ht="76" customHeight="1">
      <c r="A407" s="9">
        <v>44090</v>
      </c>
      <c r="B407" s="8">
        <v>363220</v>
      </c>
      <c r="C407" s="6" t="s">
        <v>317</v>
      </c>
      <c r="D407" s="7" t="s">
        <v>311</v>
      </c>
      <c r="E407" s="2" t="s">
        <v>318</v>
      </c>
    </row>
    <row r="408" spans="1:5" ht="48" customHeight="1">
      <c r="A408" s="14">
        <v>44090.8125</v>
      </c>
      <c r="B408" s="8">
        <v>363220</v>
      </c>
      <c r="C408" s="6" t="s">
        <v>9</v>
      </c>
      <c r="D408" s="7" t="s">
        <v>10</v>
      </c>
      <c r="E408" s="2" t="s">
        <v>309</v>
      </c>
    </row>
    <row r="409" spans="1:5" ht="48" customHeight="1">
      <c r="A409" s="14">
        <v>44104.895833333336</v>
      </c>
      <c r="B409" s="8">
        <v>363220</v>
      </c>
      <c r="C409" s="6" t="s">
        <v>9</v>
      </c>
      <c r="D409" s="7" t="s">
        <v>10</v>
      </c>
      <c r="E409" s="2" t="s">
        <v>319</v>
      </c>
    </row>
    <row r="410" spans="1:5" ht="48" customHeight="1">
      <c r="A410" s="14">
        <v>44105.802083333336</v>
      </c>
      <c r="B410" s="8">
        <v>363220</v>
      </c>
      <c r="C410" s="6" t="s">
        <v>9</v>
      </c>
      <c r="D410" s="7" t="s">
        <v>10</v>
      </c>
      <c r="E410" s="2" t="s">
        <v>319</v>
      </c>
    </row>
    <row r="411" spans="1:5" ht="62.05" customHeight="1">
      <c r="A411" s="14">
        <v>44106.443055555559</v>
      </c>
      <c r="B411" s="8">
        <v>363220</v>
      </c>
      <c r="C411" s="6" t="s">
        <v>124</v>
      </c>
      <c r="D411" s="7" t="s">
        <v>320</v>
      </c>
      <c r="E411" s="2" t="s">
        <v>321</v>
      </c>
    </row>
    <row r="412" spans="1:5" ht="76" customHeight="1">
      <c r="A412" s="9">
        <v>44118</v>
      </c>
      <c r="B412" s="5"/>
      <c r="C412" s="6" t="s">
        <v>293</v>
      </c>
      <c r="D412" s="7" t="s">
        <v>294</v>
      </c>
      <c r="E412" s="2" t="s">
        <v>322</v>
      </c>
    </row>
  </sheetData>
  <hyperlinks>
    <hyperlink ref="C2" r:id="rId1" tooltip="https://solano.legistar.com/View.ashx?GUID=799ECBBD-7436-4FA7-89B8-A2B43E740ABA&amp;ID=9448423&amp;M=F" xr:uid="{00000000-0004-0000-0100-000000000000}"/>
    <hyperlink ref="C3" r:id="rId2" tooltip="https://www.mdpi.com/2072-4292/13/11/2203" xr:uid="{00000000-0004-0000-0100-000001000000}"/>
    <hyperlink ref="C4" r:id="rId3" tooltip="https://doi.org/10.5281/zenodo.14642378" xr:uid="{00000000-0004-0000-0100-000002000000}"/>
    <hyperlink ref="C5" r:id="rId4" tooltip="https://assets1.cbsnewsstatic.com/i/cbslocal/wp-content/uploads/sites/15116056/2020/09/LNU-Lightning-Complex-Incident-Update-9.1.2020-7AM.pdf" xr:uid="{00000000-0004-0000-0100-000003000000}"/>
    <hyperlink ref="C6" r:id="rId5" tooltip="https://www.fire.ca.gov/incidents/2020/8/17/lnu-lightning-complex" xr:uid="{00000000-0004-0000-0100-000004000000}"/>
    <hyperlink ref="C7" r:id="rId6" tooltip="https://doi.org/10.5281/zenodo.14642378" xr:uid="{00000000-0004-0000-0100-000005000000}"/>
    <hyperlink ref="C8" r:id="rId7" tooltip="https://doi.org/10.5281/zenodo.14642378" xr:uid="{00000000-0004-0000-0100-000006000000}"/>
    <hyperlink ref="C9" r:id="rId8" tooltip="https://doi.org/10.5281/zenodo.14642378" xr:uid="{00000000-0004-0000-0100-000007000000}"/>
    <hyperlink ref="C10" r:id="rId9" tooltip="https://doi.org/10.5281/zenodo.14642378" xr:uid="{00000000-0004-0000-0100-000008000000}"/>
    <hyperlink ref="C11" r:id="rId10" tooltip="https://doi.org/10.5281/zenodo.14642378" xr:uid="{00000000-0004-0000-0100-000009000000}"/>
    <hyperlink ref="C12" r:id="rId11" tooltip="https://doi.org/10.5281/zenodo.14642378" xr:uid="{00000000-0004-0000-0100-00000A000000}"/>
    <hyperlink ref="C13" r:id="rId12" tooltip="https://doi.org/10.5281/zenodo.14642378" xr:uid="{00000000-0004-0000-0100-00000B000000}"/>
    <hyperlink ref="C14" r:id="rId13" tooltip="https://doi.org/10.5281/zenodo.14642378" xr:uid="{00000000-0004-0000-0100-00000C000000}"/>
    <hyperlink ref="C15" r:id="rId14" tooltip="https://doi.org/10.5281/zenodo.14642378" xr:uid="{00000000-0004-0000-0100-00000D000000}"/>
    <hyperlink ref="C16" r:id="rId15" tooltip="https://doi.org/10.5281/zenodo.14642378" xr:uid="{00000000-0004-0000-0100-00000E000000}"/>
    <hyperlink ref="C17" r:id="rId16" tooltip="https://doi.org/10.5281/zenodo.14642378" xr:uid="{00000000-0004-0000-0100-00000F000000}"/>
    <hyperlink ref="C18" r:id="rId17" tooltip="https://doi.org/10.5281/zenodo.14642378" xr:uid="{00000000-0004-0000-0100-000010000000}"/>
    <hyperlink ref="C19" r:id="rId18" tooltip="https://doi.org/10.5281/zenodo.14642378" xr:uid="{00000000-0004-0000-0100-000011000000}"/>
    <hyperlink ref="C20" r:id="rId19" tooltip="https://doi.org/10.5281/zenodo.14642378" xr:uid="{00000000-0004-0000-0100-000012000000}"/>
    <hyperlink ref="C21" r:id="rId20" tooltip="https://doi.org/10.5281/zenodo.14642378" xr:uid="{00000000-0004-0000-0100-000013000000}"/>
    <hyperlink ref="C22" r:id="rId21" tooltip="https://solano.legistar.com/View.ashx?GUID=799ECBBD-7436-4FA7-89B8-A2B43E740ABA&amp;ID=9448423&amp;M=F" xr:uid="{00000000-0004-0000-0100-000014000000}"/>
    <hyperlink ref="C23" r:id="rId22" tooltip="https://doi.org/10.6084/m9.figshare.c.5601537.v1" xr:uid="{00000000-0004-0000-0100-000015000000}"/>
    <hyperlink ref="C24" r:id="rId23" tooltip="https://doi.org/10.6084/m9.figshare.c.5601537.v1" xr:uid="{00000000-0004-0000-0100-000016000000}"/>
    <hyperlink ref="C25" r:id="rId24" tooltip="https://doi.org/10.5281/zenodo.14642378" xr:uid="{00000000-0004-0000-0100-000017000000}"/>
    <hyperlink ref="C26" r:id="rId25" tooltip="https://doi.org/10.5281/zenodo.14642378" xr:uid="{00000000-0004-0000-0100-000018000000}"/>
    <hyperlink ref="C27" r:id="rId26" tooltip="https://doi.org/10.5281/zenodo.14642378" xr:uid="{00000000-0004-0000-0100-000019000000}"/>
    <hyperlink ref="C28" r:id="rId27" tooltip="https://doi.org/10.5281/zenodo.14642378" xr:uid="{00000000-0004-0000-0100-00001A000000}"/>
    <hyperlink ref="C29" r:id="rId28" tooltip="https://doi.org/10.5281/zenodo.14642378" xr:uid="{00000000-0004-0000-0100-00001B000000}"/>
    <hyperlink ref="C30" r:id="rId29" tooltip="https://doi.org/10.5281/zenodo.14642378" xr:uid="{00000000-0004-0000-0100-00001C000000}"/>
    <hyperlink ref="C31" r:id="rId30" tooltip="https://doi.org/10.5281/zenodo.14642378" xr:uid="{00000000-0004-0000-0100-00001D000000}"/>
    <hyperlink ref="C32" r:id="rId31" tooltip="https://doi.org/10.5281/zenodo.14642378" xr:uid="{00000000-0004-0000-0100-00001E000000}"/>
    <hyperlink ref="C33" r:id="rId32" tooltip="https://doi.org/10.5281/zenodo.14642378" xr:uid="{00000000-0004-0000-0100-00001F000000}"/>
    <hyperlink ref="C34" r:id="rId33" tooltip="https://doi.org/10.5281/zenodo.14642378" xr:uid="{00000000-0004-0000-0100-000020000000}"/>
    <hyperlink ref="C35" r:id="rId34" tooltip="https://doi.org/10.5281/zenodo.14642378" xr:uid="{00000000-0004-0000-0100-000021000000}"/>
    <hyperlink ref="C36" r:id="rId35" tooltip="https://doi.org/10.5281/zenodo.14642378" xr:uid="{00000000-0004-0000-0100-000022000000}"/>
    <hyperlink ref="C37" r:id="rId36" tooltip="https://doi.org/10.6084/m9.figshare.c.5601537.v1" xr:uid="{00000000-0004-0000-0100-000023000000}"/>
    <hyperlink ref="C38" r:id="rId37" tooltip="https://doi.org/10.6084/m9.figshare.c.5601537.v1" xr:uid="{00000000-0004-0000-0100-000024000000}"/>
    <hyperlink ref="C39" r:id="rId38" tooltip="https://doi.org/10.5281/zenodo.14642378" xr:uid="{00000000-0004-0000-0100-000025000000}"/>
    <hyperlink ref="C40" r:id="rId39" tooltip="https://doi.org/10.5281/zenodo.14642378" xr:uid="{00000000-0004-0000-0100-000026000000}"/>
    <hyperlink ref="C41" r:id="rId40" tooltip="https://doi.org/10.5281/zenodo.14642378" xr:uid="{00000000-0004-0000-0100-000027000000}"/>
    <hyperlink ref="C42" r:id="rId41" tooltip="https://doi.org/10.5281/zenodo.14642378" xr:uid="{00000000-0004-0000-0100-000028000000}"/>
    <hyperlink ref="C43" r:id="rId42" tooltip="https://doi.org/10.5281/zenodo.14642378" xr:uid="{00000000-0004-0000-0100-000029000000}"/>
    <hyperlink ref="C44" r:id="rId43" tooltip="https://doi.org/10.5281/zenodo.14642378" xr:uid="{00000000-0004-0000-0100-00002A000000}"/>
    <hyperlink ref="C45" r:id="rId44" tooltip="https://doi.org/10.5281/zenodo.14642378" xr:uid="{00000000-0004-0000-0100-00002B000000}"/>
    <hyperlink ref="C46" r:id="rId45" tooltip="https://doi.org/10.5281/zenodo.14642378" xr:uid="{00000000-0004-0000-0100-00002C000000}"/>
    <hyperlink ref="C47" r:id="rId46" tooltip="https://doi.org/10.5281/zenodo.14642378" xr:uid="{00000000-0004-0000-0100-00002D000000}"/>
    <hyperlink ref="C48" r:id="rId47" tooltip="https://doi.org/10.5281/zenodo.14642378" xr:uid="{00000000-0004-0000-0100-00002E000000}"/>
    <hyperlink ref="C49" r:id="rId48" tooltip="https://doi.org/10.5281/zenodo.14642378" xr:uid="{00000000-0004-0000-0100-00002F000000}"/>
    <hyperlink ref="C50" r:id="rId49" tooltip="https://doi.org/10.5281/zenodo.14642378" xr:uid="{00000000-0004-0000-0100-000030000000}"/>
    <hyperlink ref="C51" r:id="rId50" tooltip="https://doi.org/10.6084/m9.figshare.c.5601537.v1" xr:uid="{00000000-0004-0000-0100-000031000000}"/>
    <hyperlink ref="C52" r:id="rId51" tooltip="https://doi.org/10.6084/m9.figshare.c.5601537.v1" xr:uid="{00000000-0004-0000-0100-000032000000}"/>
    <hyperlink ref="C53" r:id="rId52" tooltip="https://doi.org/10.6084/m9.figshare.c.5601537.v1" xr:uid="{00000000-0004-0000-0100-000033000000}"/>
    <hyperlink ref="C54" r:id="rId53" tooltip="https://doi.org/10.5281/zenodo.14642378" xr:uid="{00000000-0004-0000-0100-000034000000}"/>
    <hyperlink ref="C55" r:id="rId54" tooltip="https://doi.org/10.5281/zenodo.14642378" xr:uid="{00000000-0004-0000-0100-000035000000}"/>
    <hyperlink ref="C56" r:id="rId55" tooltip="https://doi.org/10.5281/zenodo.14642378" xr:uid="{00000000-0004-0000-0100-000036000000}"/>
    <hyperlink ref="C57" r:id="rId56" tooltip="https://doi.org/10.5281/zenodo.14642378" xr:uid="{00000000-0004-0000-0100-000037000000}"/>
    <hyperlink ref="C58" r:id="rId57" tooltip="https://doi.org/10.5281/zenodo.14642378" xr:uid="{00000000-0004-0000-0100-000038000000}"/>
    <hyperlink ref="C59" r:id="rId58" tooltip="https://doi.org/10.5281/zenodo.14642378" xr:uid="{00000000-0004-0000-0100-000039000000}"/>
    <hyperlink ref="C60" r:id="rId59" tooltip="https://doi.org/10.5281/zenodo.14642378" xr:uid="{00000000-0004-0000-0100-00003A000000}"/>
    <hyperlink ref="C61" r:id="rId60" tooltip="https://doi.org/10.5281/zenodo.14642378" xr:uid="{00000000-0004-0000-0100-00003B000000}"/>
    <hyperlink ref="C62" r:id="rId61" tooltip="https://doi.org/10.5281/zenodo.14642378" xr:uid="{00000000-0004-0000-0100-00003C000000}"/>
    <hyperlink ref="C63" r:id="rId62" tooltip="https://doi.org/10.6084/m9.figshare.19858927.v3" xr:uid="{00000000-0004-0000-0100-00003D000000}"/>
    <hyperlink ref="C64" r:id="rId63" tooltip="https://doi.org/10.6084/m9.figshare.19858927.v3" xr:uid="{00000000-0004-0000-0100-00003E000000}"/>
    <hyperlink ref="C65" r:id="rId64" tooltip="https://doi.org/10.5281/zenodo.14642378" xr:uid="{00000000-0004-0000-0100-00003F000000}"/>
    <hyperlink ref="C66" r:id="rId65" tooltip="https://doi.org/10.5281/zenodo.14642378" xr:uid="{00000000-0004-0000-0100-000040000000}"/>
    <hyperlink ref="C67" r:id="rId66" tooltip="https://doi.org/10.5281/zenodo.14642378" xr:uid="{00000000-0004-0000-0100-000041000000}"/>
    <hyperlink ref="C68" r:id="rId67" tooltip="https://doi.org/10.6084/m9.figshare.c.5601537.v1" xr:uid="{00000000-0004-0000-0100-000042000000}"/>
    <hyperlink ref="C69" r:id="rId68" tooltip="https://doi.org/10.6084/m9.figshare.c.5601537.v1" xr:uid="{00000000-0004-0000-0100-000043000000}"/>
    <hyperlink ref="C70" r:id="rId69" tooltip="https://doi.org/10.6084/m9.figshare.c.5601537.v1" xr:uid="{00000000-0004-0000-0100-000044000000}"/>
    <hyperlink ref="C71" r:id="rId70" tooltip="https://doi.org/10.5281/zenodo.14642378" xr:uid="{00000000-0004-0000-0100-000045000000}"/>
    <hyperlink ref="C72" r:id="rId71" tooltip="https://doi.org/10.5281/zenodo.14642378" xr:uid="{00000000-0004-0000-0100-000046000000}"/>
    <hyperlink ref="C73" r:id="rId72" tooltip="https://doi.org/10.5281/zenodo.14642378" xr:uid="{00000000-0004-0000-0100-000047000000}"/>
    <hyperlink ref="C74" r:id="rId73" tooltip="https://doi.org/10.5281/zenodo.14642378" xr:uid="{00000000-0004-0000-0100-000048000000}"/>
    <hyperlink ref="C75" r:id="rId74" tooltip="https://doi.org/10.5281/zenodo.14642378" xr:uid="{00000000-0004-0000-0100-000049000000}"/>
    <hyperlink ref="C76" r:id="rId75" tooltip="https://doi.org/10.5281/zenodo.14642378" xr:uid="{00000000-0004-0000-0100-00004A000000}"/>
    <hyperlink ref="C77" r:id="rId76" tooltip="https://doi.org/10.5281/zenodo.14642378" xr:uid="{00000000-0004-0000-0100-00004B000000}"/>
    <hyperlink ref="C78" r:id="rId77" tooltip="https://doi.org/10.5281/zenodo.14642378" xr:uid="{00000000-0004-0000-0100-00004C000000}"/>
    <hyperlink ref="C79" r:id="rId78" tooltip="https://doi.org/10.6084/m9.figshare.19858927.v3" xr:uid="{00000000-0004-0000-0100-00004D000000}"/>
    <hyperlink ref="C80" r:id="rId79" tooltip="https://doi.org/10.5281/zenodo.14642378" xr:uid="{00000000-0004-0000-0100-00004E000000}"/>
    <hyperlink ref="C81" r:id="rId80" tooltip="https://doi.org/10.5281/zenodo.14642378" xr:uid="{00000000-0004-0000-0100-00004F000000}"/>
    <hyperlink ref="C82" r:id="rId81" tooltip="https://doi.org/10.5281/zenodo.14642378" xr:uid="{00000000-0004-0000-0100-000050000000}"/>
    <hyperlink ref="C83" r:id="rId82" tooltip="https://doi.org/10.5281/zenodo.14642378" xr:uid="{00000000-0004-0000-0100-000051000000}"/>
    <hyperlink ref="C84" r:id="rId83" tooltip="https://doi.org/10.6084/m9.figshare.c.5601537.v1" xr:uid="{00000000-0004-0000-0100-000052000000}"/>
    <hyperlink ref="C85" r:id="rId84" tooltip="https://doi.org/10.6084/m9.figshare.c.5601537.v1" xr:uid="{00000000-0004-0000-0100-000053000000}"/>
    <hyperlink ref="C86" r:id="rId85" tooltip="https://doi.org/10.6084/m9.figshare.c.5601537.v1" xr:uid="{00000000-0004-0000-0100-000054000000}"/>
    <hyperlink ref="C87" r:id="rId86" tooltip="https://doi.org/10.5281/zenodo.14642378" xr:uid="{00000000-0004-0000-0100-000055000000}"/>
    <hyperlink ref="C88" r:id="rId87" tooltip="https://doi.org/10.5281/zenodo.14642378" xr:uid="{00000000-0004-0000-0100-000056000000}"/>
    <hyperlink ref="C89" r:id="rId88" tooltip="https://doi.org/10.5281/zenodo.14642378" xr:uid="{00000000-0004-0000-0100-000057000000}"/>
    <hyperlink ref="C90" r:id="rId89" tooltip="https://doi.org/10.5281/zenodo.14642378" xr:uid="{00000000-0004-0000-0100-000058000000}"/>
    <hyperlink ref="C91" r:id="rId90" tooltip="https://doi.org/10.5281/zenodo.14642378" xr:uid="{00000000-0004-0000-0100-000059000000}"/>
    <hyperlink ref="C92" r:id="rId91" tooltip="https://doi.org/10.5281/zenodo.14642378" xr:uid="{00000000-0004-0000-0100-00005A000000}"/>
    <hyperlink ref="C93" r:id="rId92" tooltip="https://doi.org/10.5281/zenodo.14642378" xr:uid="{00000000-0004-0000-0100-00005B000000}"/>
    <hyperlink ref="C94" r:id="rId93" tooltip="https://doi.org/10.5281/zenodo.14642378" xr:uid="{00000000-0004-0000-0100-00005C000000}"/>
    <hyperlink ref="C95" r:id="rId94" tooltip="https://doi.org/10.6084/m9.figshare.19858927.v3" xr:uid="{00000000-0004-0000-0100-00005D000000}"/>
    <hyperlink ref="C96" r:id="rId95" tooltip="https://doi.org/10.5281/zenodo.14642378" xr:uid="{00000000-0004-0000-0100-00005E000000}"/>
    <hyperlink ref="C97" r:id="rId96" tooltip="https://doi.org/10.5281/zenodo.14642378" xr:uid="{00000000-0004-0000-0100-00005F000000}"/>
    <hyperlink ref="C98" r:id="rId97" tooltip="https://doi.org/10.5281/zenodo.14642378" xr:uid="{00000000-0004-0000-0100-000060000000}"/>
    <hyperlink ref="C99" r:id="rId98" tooltip="https://doi.org/10.5281/zenodo.14642378" xr:uid="{00000000-0004-0000-0100-000061000000}"/>
    <hyperlink ref="C100" r:id="rId99" tooltip="https://doi.org/10.6084/m9.figshare.c.5601537.v1" xr:uid="{00000000-0004-0000-0100-000062000000}"/>
    <hyperlink ref="C101" r:id="rId100" tooltip="https://doi.org/10.6084/m9.figshare.c.5601537.v1" xr:uid="{00000000-0004-0000-0100-000063000000}"/>
    <hyperlink ref="C102" r:id="rId101" tooltip="https://doi.org/10.6084/m9.figshare.c.5601537.v1" xr:uid="{00000000-0004-0000-0100-000064000000}"/>
    <hyperlink ref="C103" r:id="rId102" tooltip="https://doi.org/10.5281/zenodo.14642378" xr:uid="{00000000-0004-0000-0100-000065000000}"/>
    <hyperlink ref="C104" r:id="rId103" tooltip="https://doi.org/10.5281/zenodo.14642378" xr:uid="{00000000-0004-0000-0100-000066000000}"/>
    <hyperlink ref="C105" r:id="rId104" tooltip="https://doi.org/10.5281/zenodo.14642378" xr:uid="{00000000-0004-0000-0100-000067000000}"/>
    <hyperlink ref="C106" r:id="rId105" tooltip="https://doi.org/10.5281/zenodo.14642378" xr:uid="{00000000-0004-0000-0100-000068000000}"/>
    <hyperlink ref="C107" r:id="rId106" tooltip="https://doi.org/10.5281/zenodo.14642378" xr:uid="{00000000-0004-0000-0100-000069000000}"/>
    <hyperlink ref="C108" r:id="rId107" tooltip="https://doi.org/10.5281/zenodo.14642378" xr:uid="{00000000-0004-0000-0100-00006A000000}"/>
    <hyperlink ref="C109" r:id="rId108" tooltip="https://doi.org/10.5281/zenodo.14642378" xr:uid="{00000000-0004-0000-0100-00006B000000}"/>
    <hyperlink ref="C110" r:id="rId109" tooltip="https://doi.org/10.6084/m9.figshare.19858927.v3" xr:uid="{00000000-0004-0000-0100-00006C000000}"/>
    <hyperlink ref="C111" r:id="rId110" tooltip="https://doi.org/10.5281/zenodo.14642378" xr:uid="{00000000-0004-0000-0100-00006D000000}"/>
    <hyperlink ref="C112" r:id="rId111" tooltip="https://doi.org/10.5281/zenodo.14642378" xr:uid="{00000000-0004-0000-0100-00006E000000}"/>
    <hyperlink ref="C113" r:id="rId112" tooltip="https://doi.org/10.6084/m9.figshare.19858927.v3" xr:uid="{00000000-0004-0000-0100-00006F000000}"/>
    <hyperlink ref="C114" r:id="rId113" tooltip="https://doi.org/10.5281/zenodo.14642378" xr:uid="{00000000-0004-0000-0100-000070000000}"/>
    <hyperlink ref="C115" r:id="rId114" tooltip="https://doi.org/10.6084/m9.figshare.19858927.v3" xr:uid="{00000000-0004-0000-0100-000071000000}"/>
    <hyperlink ref="C116" r:id="rId115" tooltip="https://doi.org/10.5281/zenodo.14642378" xr:uid="{00000000-0004-0000-0100-000072000000}"/>
    <hyperlink ref="C117" r:id="rId116" tooltip="https://doi.org/10.5281/zenodo.14642378" xr:uid="{00000000-0004-0000-0100-000073000000}"/>
    <hyperlink ref="C118" r:id="rId117" tooltip="https://doi.org/10.6084/m9.figshare.c.5601537.v1" xr:uid="{00000000-0004-0000-0100-000074000000}"/>
    <hyperlink ref="C119" r:id="rId118" tooltip="https://doi.org/10.6084/m9.figshare.c.5601537.v1" xr:uid="{00000000-0004-0000-0100-000075000000}"/>
    <hyperlink ref="C120" r:id="rId119" tooltip="https://doi.org/10.6084/m9.figshare.c.5601537.v1" xr:uid="{00000000-0004-0000-0100-000076000000}"/>
    <hyperlink ref="C121" r:id="rId120" tooltip="https://doi.org/10.5281/zenodo.14642378" xr:uid="{00000000-0004-0000-0100-000077000000}"/>
    <hyperlink ref="C122" r:id="rId121" tooltip="https://doi.org/10.5281/zenodo.14642378" xr:uid="{00000000-0004-0000-0100-000078000000}"/>
    <hyperlink ref="C123" r:id="rId122" tooltip="https://doi.org/10.5281/zenodo.14642378" xr:uid="{00000000-0004-0000-0100-000079000000}"/>
    <hyperlink ref="C124" r:id="rId123" tooltip="https://doi.org/10.5281/zenodo.14642378" xr:uid="{00000000-0004-0000-0100-00007A000000}"/>
    <hyperlink ref="C125" r:id="rId124" tooltip="https://doi.org/10.5281/zenodo.14642378" xr:uid="{00000000-0004-0000-0100-00007B000000}"/>
    <hyperlink ref="C126" r:id="rId125" tooltip="https://doi.org/10.5281/zenodo.14642378" xr:uid="{00000000-0004-0000-0100-00007C000000}"/>
    <hyperlink ref="C127" r:id="rId126" tooltip="https://doi.org/10.5281/zenodo.14642378" xr:uid="{00000000-0004-0000-0100-00007D000000}"/>
    <hyperlink ref="C128" r:id="rId127" tooltip="https://doi.org/10.5281/zenodo.14642378" xr:uid="{00000000-0004-0000-0100-00007E000000}"/>
    <hyperlink ref="C129" r:id="rId128" tooltip="https://doi.org/10.6084/m9.figshare.19858927.v3" xr:uid="{00000000-0004-0000-0100-00007F000000}"/>
    <hyperlink ref="C130" r:id="rId129" tooltip="https://doi.org/10.5281/zenodo.14642378" xr:uid="{00000000-0004-0000-0100-000080000000}"/>
    <hyperlink ref="C131" r:id="rId130" tooltip="https://doi.org/10.5281/zenodo.14642378" xr:uid="{00000000-0004-0000-0100-000081000000}"/>
    <hyperlink ref="C132" r:id="rId131" tooltip="https://doi.org/10.5281/zenodo.14642378" xr:uid="{00000000-0004-0000-0100-000082000000}"/>
    <hyperlink ref="C133" r:id="rId132" tooltip="https://doi.org/10.5281/zenodo.14642378" xr:uid="{00000000-0004-0000-0100-000083000000}"/>
    <hyperlink ref="C134" r:id="rId133" tooltip="https://doi.org/10.6084/m9.figshare.c.5601537.v1" xr:uid="{00000000-0004-0000-0100-000084000000}"/>
    <hyperlink ref="C135" r:id="rId134" tooltip="https://doi.org/10.6084/m9.figshare.c.5601537.v1" xr:uid="{00000000-0004-0000-0100-000085000000}"/>
    <hyperlink ref="C136" r:id="rId135" tooltip="https://doi.org/10.6084/m9.figshare.c.5601537.v1" xr:uid="{00000000-0004-0000-0100-000086000000}"/>
    <hyperlink ref="C137" r:id="rId136" tooltip="https://doi.org/10.5281/zenodo.14642378" xr:uid="{00000000-0004-0000-0100-000087000000}"/>
    <hyperlink ref="C138" r:id="rId137" tooltip="https://doi.org/10.5281/zenodo.14642378" xr:uid="{00000000-0004-0000-0100-000088000000}"/>
    <hyperlink ref="C139" r:id="rId138" tooltip="https://doi.org/10.5281/zenodo.14642378" xr:uid="{00000000-0004-0000-0100-000089000000}"/>
    <hyperlink ref="C140" r:id="rId139" tooltip="https://doi.org/10.5281/zenodo.14642378" xr:uid="{00000000-0004-0000-0100-00008A000000}"/>
    <hyperlink ref="C141" r:id="rId140" tooltip="https://doi.org/10.5281/zenodo.14642378" xr:uid="{00000000-0004-0000-0100-00008B000000}"/>
    <hyperlink ref="C142" r:id="rId141" tooltip="https://doi.org/10.5281/zenodo.14642378" xr:uid="{00000000-0004-0000-0100-00008C000000}"/>
    <hyperlink ref="C143" r:id="rId142" tooltip="https://doi.org/10.5281/zenodo.14642378" xr:uid="{00000000-0004-0000-0100-00008D000000}"/>
    <hyperlink ref="C144" r:id="rId143" tooltip="https://doi.org/10.5281/zenodo.14642378" xr:uid="{00000000-0004-0000-0100-00008E000000}"/>
    <hyperlink ref="C145" r:id="rId144" tooltip="https://doi.org/10.6084/m9.figshare.19858927.v3" xr:uid="{00000000-0004-0000-0100-00008F000000}"/>
    <hyperlink ref="C146" r:id="rId145" tooltip="https://doi.org/10.5281/zenodo.14642378" xr:uid="{00000000-0004-0000-0100-000090000000}"/>
    <hyperlink ref="C147" r:id="rId146" tooltip="https://doi.org/10.5281/zenodo.14642378" xr:uid="{00000000-0004-0000-0100-000091000000}"/>
    <hyperlink ref="C148" r:id="rId147" tooltip="https://doi.org/10.5281/zenodo.14642378" xr:uid="{00000000-0004-0000-0100-000092000000}"/>
    <hyperlink ref="C149" r:id="rId148" tooltip="https://doi.org/10.5281/zenodo.14642378" xr:uid="{00000000-0004-0000-0100-000093000000}"/>
    <hyperlink ref="C150" r:id="rId149" tooltip="https://doi.org/10.6084/m9.figshare.c.5601537.v1" xr:uid="{00000000-0004-0000-0100-000094000000}"/>
    <hyperlink ref="C151" r:id="rId150" tooltip="https://doi.org/10.6084/m9.figshare.c.5601537.v1" xr:uid="{00000000-0004-0000-0100-000095000000}"/>
    <hyperlink ref="C152" r:id="rId151" tooltip="https://doi.org/10.6084/m9.figshare.c.5601537.v1" xr:uid="{00000000-0004-0000-0100-000096000000}"/>
    <hyperlink ref="C153" r:id="rId152" tooltip="https://doi.org/10.5281/zenodo.14642378" xr:uid="{00000000-0004-0000-0100-000097000000}"/>
    <hyperlink ref="C154" r:id="rId153" tooltip="https://doi.org/10.5281/zenodo.14642378" xr:uid="{00000000-0004-0000-0100-000098000000}"/>
    <hyperlink ref="C155" r:id="rId154" tooltip="https://doi.org/10.5281/zenodo.14642378" xr:uid="{00000000-0004-0000-0100-000099000000}"/>
    <hyperlink ref="C156" r:id="rId155" tooltip="https://doi.org/10.5281/zenodo.14642378" xr:uid="{00000000-0004-0000-0100-00009A000000}"/>
    <hyperlink ref="C157" r:id="rId156" tooltip="https://doi.org/10.5281/zenodo.14642378" xr:uid="{00000000-0004-0000-0100-00009B000000}"/>
    <hyperlink ref="C158" r:id="rId157" tooltip="https://doi.org/10.5281/zenodo.14642378" xr:uid="{00000000-0004-0000-0100-00009C000000}"/>
    <hyperlink ref="C159" r:id="rId158" tooltip="https://doi.org/10.5281/zenodo.14642378" xr:uid="{00000000-0004-0000-0100-00009D000000}"/>
    <hyperlink ref="C160" r:id="rId159" tooltip="https://doi.org/10.5281/zenodo.14642378" xr:uid="{00000000-0004-0000-0100-00009E000000}"/>
    <hyperlink ref="C161" r:id="rId160" tooltip="https://doi.org/10.5281/zenodo.14642378" xr:uid="{00000000-0004-0000-0100-00009F000000}"/>
    <hyperlink ref="C162" r:id="rId161" tooltip="https://doi.org/10.6084/m9.figshare.19858927.v3" xr:uid="{00000000-0004-0000-0100-0000A0000000}"/>
    <hyperlink ref="C163" r:id="rId162" tooltip="https://doi.org/10.5281/zenodo.14642378" xr:uid="{00000000-0004-0000-0100-0000A1000000}"/>
    <hyperlink ref="C164" r:id="rId163" tooltip="https://doi.org/10.5281/zenodo.14642378" xr:uid="{00000000-0004-0000-0100-0000A2000000}"/>
    <hyperlink ref="C165" r:id="rId164" tooltip="https://doi.org/10.5281/zenodo.14642378" xr:uid="{00000000-0004-0000-0100-0000A3000000}"/>
    <hyperlink ref="C166" r:id="rId165" tooltip="https://doi.org/10.6084/m9.figshare.c.5601537.v1" xr:uid="{00000000-0004-0000-0100-0000A4000000}"/>
    <hyperlink ref="C167" r:id="rId166" tooltip="https://doi.org/10.6084/m9.figshare.c.5601537.v1" xr:uid="{00000000-0004-0000-0100-0000A5000000}"/>
    <hyperlink ref="C168" r:id="rId167" tooltip="https://doi.org/10.5281/zenodo.14642378" xr:uid="{00000000-0004-0000-0100-0000A6000000}"/>
    <hyperlink ref="C169" r:id="rId168" tooltip="https://doi.org/10.5281/zenodo.14642378" xr:uid="{00000000-0004-0000-0100-0000A7000000}"/>
    <hyperlink ref="C170" r:id="rId169" tooltip="https://doi.org/10.5281/zenodo.14642378" xr:uid="{00000000-0004-0000-0100-0000A8000000}"/>
    <hyperlink ref="C171" r:id="rId170" tooltip="https://doi.org/10.5281/zenodo.14642378" xr:uid="{00000000-0004-0000-0100-0000A9000000}"/>
    <hyperlink ref="C172" r:id="rId171" tooltip="https://doi.org/10.5281/zenodo.14642378" xr:uid="{00000000-0004-0000-0100-0000AA000000}"/>
    <hyperlink ref="C173" r:id="rId172" tooltip="https://doi.org/10.5281/zenodo.14642378" xr:uid="{00000000-0004-0000-0100-0000AB000000}"/>
    <hyperlink ref="C174" r:id="rId173" tooltip="https://doi.org/10.5281/zenodo.14642378" xr:uid="{00000000-0004-0000-0100-0000AC000000}"/>
    <hyperlink ref="C175" r:id="rId174" tooltip="https://doi.org/10.5281/zenodo.14642378" xr:uid="{00000000-0004-0000-0100-0000AD000000}"/>
    <hyperlink ref="C176" r:id="rId175" tooltip="https://doi.org/10.6084/m9.figshare.19858927.v3" xr:uid="{00000000-0004-0000-0100-0000AE000000}"/>
    <hyperlink ref="C177" r:id="rId176" tooltip="https://doi.org/10.5281/zenodo.14642378" xr:uid="{00000000-0004-0000-0100-0000AF000000}"/>
    <hyperlink ref="C178" r:id="rId177" tooltip="https://doi.org/10.5281/zenodo.14642378" xr:uid="{00000000-0004-0000-0100-0000B0000000}"/>
    <hyperlink ref="C179" r:id="rId178" tooltip="https://doi.org/10.5281/zenodo.14642378" xr:uid="{00000000-0004-0000-0100-0000B1000000}"/>
    <hyperlink ref="C180" r:id="rId179" tooltip="https://doi.org/10.5281/zenodo.14642378" xr:uid="{00000000-0004-0000-0100-0000B2000000}"/>
    <hyperlink ref="C181" r:id="rId180" tooltip="https://doi.org/10.6084/m9.figshare.c.5601537.v1" xr:uid="{00000000-0004-0000-0100-0000B3000000}"/>
    <hyperlink ref="C182" r:id="rId181" tooltip="https://doi.org/10.6084/m9.figshare.c.5601537.v1" xr:uid="{00000000-0004-0000-0100-0000B4000000}"/>
    <hyperlink ref="C183" r:id="rId182" tooltip="https://doi.org/10.5281/zenodo.14642378" xr:uid="{00000000-0004-0000-0100-0000B5000000}"/>
    <hyperlink ref="C184" r:id="rId183" tooltip="https://doi.org/10.5281/zenodo.14642378" xr:uid="{00000000-0004-0000-0100-0000B6000000}"/>
    <hyperlink ref="C185" r:id="rId184" tooltip="https://doi.org/10.5281/zenodo.14642378" xr:uid="{00000000-0004-0000-0100-0000B7000000}"/>
    <hyperlink ref="C186" r:id="rId185" tooltip="https://doi.org/10.5281/zenodo.14642378" xr:uid="{00000000-0004-0000-0100-0000B8000000}"/>
    <hyperlink ref="C187" r:id="rId186" tooltip="https://doi.org/10.5281/zenodo.14642378" xr:uid="{00000000-0004-0000-0100-0000B9000000}"/>
    <hyperlink ref="C188" r:id="rId187" tooltip="https://doi.org/10.5281/zenodo.14642378" xr:uid="{00000000-0004-0000-0100-0000BA000000}"/>
    <hyperlink ref="C189" r:id="rId188" tooltip="https://doi.org/10.5281/zenodo.14642378" xr:uid="{00000000-0004-0000-0100-0000BB000000}"/>
    <hyperlink ref="C190" r:id="rId189" tooltip="https://doi.org/10.5281/zenodo.14642378" xr:uid="{00000000-0004-0000-0100-0000BC000000}"/>
    <hyperlink ref="C191" r:id="rId190" tooltip="https://doi.org/10.6084/m9.figshare.19858927.v3" xr:uid="{00000000-0004-0000-0100-0000BD000000}"/>
    <hyperlink ref="C192" r:id="rId191" tooltip="https://doi.org/10.5281/zenodo.14642378" xr:uid="{00000000-0004-0000-0100-0000BE000000}"/>
    <hyperlink ref="C193" r:id="rId192" tooltip="https://doi.org/10.5281/zenodo.14642378" xr:uid="{00000000-0004-0000-0100-0000BF000000}"/>
    <hyperlink ref="C194" r:id="rId193" tooltip="https://doi.org/10.5281/zenodo.14642378" xr:uid="{00000000-0004-0000-0100-0000C0000000}"/>
    <hyperlink ref="C195" r:id="rId194" tooltip="https://doi.org/10.5281/zenodo.14642378" xr:uid="{00000000-0004-0000-0100-0000C1000000}"/>
    <hyperlink ref="C196" r:id="rId195" tooltip="https://doi.org/10.6084/m9.figshare.c.5601537.v1" xr:uid="{00000000-0004-0000-0100-0000C2000000}"/>
    <hyperlink ref="C197" r:id="rId196" tooltip="https://doi.org/10.6084/m9.figshare.c.5601537.v1" xr:uid="{00000000-0004-0000-0100-0000C3000000}"/>
    <hyperlink ref="C198" r:id="rId197" tooltip="https://doi.org/10.5281/zenodo.14642378" xr:uid="{00000000-0004-0000-0100-0000C4000000}"/>
    <hyperlink ref="C199" r:id="rId198" tooltip="https://doi.org/10.5281/zenodo.14642378" xr:uid="{00000000-0004-0000-0100-0000C5000000}"/>
    <hyperlink ref="C200" r:id="rId199" tooltip="https://doi.org/10.5281/zenodo.14642378" xr:uid="{00000000-0004-0000-0100-0000C6000000}"/>
    <hyperlink ref="C201" r:id="rId200" tooltip="https://doi.org/10.5281/zenodo.14642378" xr:uid="{00000000-0004-0000-0100-0000C7000000}"/>
    <hyperlink ref="C202" r:id="rId201" tooltip="https://doi.org/10.5281/zenodo.14642378" xr:uid="{00000000-0004-0000-0100-0000C8000000}"/>
    <hyperlink ref="C203" r:id="rId202" tooltip="https://doi.org/10.5281/zenodo.14642378" xr:uid="{00000000-0004-0000-0100-0000C9000000}"/>
    <hyperlink ref="C204" r:id="rId203" tooltip="https://doi.org/10.5281/zenodo.14642378" xr:uid="{00000000-0004-0000-0100-0000CA000000}"/>
    <hyperlink ref="C205" r:id="rId204" tooltip="https://doi.org/10.6084/m9.figshare.19858927.v3" xr:uid="{00000000-0004-0000-0100-0000CB000000}"/>
    <hyperlink ref="C206" r:id="rId205" tooltip="https://doi.org/10.5281/zenodo.14642378" xr:uid="{00000000-0004-0000-0100-0000CC000000}"/>
    <hyperlink ref="C207" r:id="rId206" tooltip="https://doi.org/10.5281/zenodo.14642378" xr:uid="{00000000-0004-0000-0100-0000CD000000}"/>
    <hyperlink ref="C208" r:id="rId207" tooltip="https://doi.org/10.5281/zenodo.14642378" xr:uid="{00000000-0004-0000-0100-0000CE000000}"/>
    <hyperlink ref="C209" r:id="rId208" tooltip="https://doi.org/10.5281/zenodo.14642378" xr:uid="{00000000-0004-0000-0100-0000CF000000}"/>
    <hyperlink ref="C210" r:id="rId209" tooltip="https://doi.org/10.5281/zenodo.14642378" xr:uid="{00000000-0004-0000-0100-0000D0000000}"/>
    <hyperlink ref="C211" r:id="rId210" tooltip="https://doi.org/10.6084/m9.figshare.c.5601537.v1" xr:uid="{00000000-0004-0000-0100-0000D1000000}"/>
    <hyperlink ref="C212" r:id="rId211" tooltip="https://doi.org/10.6084/m9.figshare.c.5601537.v1" xr:uid="{00000000-0004-0000-0100-0000D2000000}"/>
    <hyperlink ref="C213" r:id="rId212" tooltip="https://doi.org/10.5281/zenodo.14642378" xr:uid="{00000000-0004-0000-0100-0000D3000000}"/>
    <hyperlink ref="C214" r:id="rId213" tooltip="https://doi.org/10.5281/zenodo.14642378" xr:uid="{00000000-0004-0000-0100-0000D4000000}"/>
    <hyperlink ref="C215" r:id="rId214" tooltip="https://doi.org/10.5281/zenodo.14642378" xr:uid="{00000000-0004-0000-0100-0000D5000000}"/>
    <hyperlink ref="C216" r:id="rId215" tooltip="https://doi.org/10.5281/zenodo.14642378" xr:uid="{00000000-0004-0000-0100-0000D6000000}"/>
    <hyperlink ref="C217" r:id="rId216" tooltip="https://doi.org/10.5281/zenodo.14642378" xr:uid="{00000000-0004-0000-0100-0000D7000000}"/>
    <hyperlink ref="C218" r:id="rId217" tooltip="https://doi.org/10.5281/zenodo.14642378" xr:uid="{00000000-0004-0000-0100-0000D8000000}"/>
    <hyperlink ref="C219" r:id="rId218" tooltip="https://doi.org/10.5281/zenodo.14642378" xr:uid="{00000000-0004-0000-0100-0000D9000000}"/>
    <hyperlink ref="C220" r:id="rId219" tooltip="https://doi.org/10.5281/zenodo.14642378" xr:uid="{00000000-0004-0000-0100-0000DA000000}"/>
    <hyperlink ref="C221" r:id="rId220" tooltip="https://doi.org/10.6084/m9.figshare.19858927.v3" xr:uid="{00000000-0004-0000-0100-0000DB000000}"/>
    <hyperlink ref="C222" r:id="rId221" tooltip="https://doi.org/10.5281/zenodo.14642378" xr:uid="{00000000-0004-0000-0100-0000DC000000}"/>
    <hyperlink ref="C223" r:id="rId222" tooltip="https://doi.org/10.5281/zenodo.14642378" xr:uid="{00000000-0004-0000-0100-0000DD000000}"/>
    <hyperlink ref="C224" r:id="rId223" tooltip="https://doi.org/10.5281/zenodo.14642378" xr:uid="{00000000-0004-0000-0100-0000DE000000}"/>
    <hyperlink ref="C225" r:id="rId224" tooltip="https://doi.org/10.5281/zenodo.14642378" xr:uid="{00000000-0004-0000-0100-0000DF000000}"/>
    <hyperlink ref="C226" r:id="rId225" tooltip="https://doi.org/10.6084/m9.figshare.c.5601537.v1" xr:uid="{00000000-0004-0000-0100-0000E0000000}"/>
    <hyperlink ref="C227" r:id="rId226" tooltip="https://doi.org/10.6084/m9.figshare.c.5601537.v1" xr:uid="{00000000-0004-0000-0100-0000E1000000}"/>
    <hyperlink ref="C228" r:id="rId227" tooltip="https://doi.org/10.5281/zenodo.14642378" xr:uid="{00000000-0004-0000-0100-0000E2000000}"/>
    <hyperlink ref="C229" r:id="rId228" tooltip="https://doi.org/10.5281/zenodo.14642378" xr:uid="{00000000-0004-0000-0100-0000E3000000}"/>
    <hyperlink ref="C230" r:id="rId229" tooltip="https://doi.org/10.5281/zenodo.14642378" xr:uid="{00000000-0004-0000-0100-0000E4000000}"/>
    <hyperlink ref="C231" r:id="rId230" tooltip="https://doi.org/10.5281/zenodo.14642378" xr:uid="{00000000-0004-0000-0100-0000E5000000}"/>
    <hyperlink ref="C232" r:id="rId231" tooltip="https://doi.org/10.5281/zenodo.14642378" xr:uid="{00000000-0004-0000-0100-0000E6000000}"/>
    <hyperlink ref="C233" r:id="rId232" tooltip="https://doi.org/10.5281/zenodo.14642378" xr:uid="{00000000-0004-0000-0100-0000E7000000}"/>
    <hyperlink ref="C234" r:id="rId233" tooltip="https://doi.org/10.5281/zenodo.14642378" xr:uid="{00000000-0004-0000-0100-0000E8000000}"/>
    <hyperlink ref="C235" r:id="rId234" tooltip="https://doi.org/10.5281/zenodo.14642378" xr:uid="{00000000-0004-0000-0100-0000E9000000}"/>
    <hyperlink ref="C236" r:id="rId235" tooltip="https://doi.org/10.6084/m9.figshare.19858927.v3" xr:uid="{00000000-0004-0000-0100-0000EA000000}"/>
    <hyperlink ref="C237" r:id="rId236" tooltip="https://doi.org/10.5281/zenodo.14642378" xr:uid="{00000000-0004-0000-0100-0000EB000000}"/>
    <hyperlink ref="C238" r:id="rId237" tooltip="https://doi.org/10.5281/zenodo.14642378" xr:uid="{00000000-0004-0000-0100-0000EC000000}"/>
    <hyperlink ref="C239" r:id="rId238" tooltip="https://doi.org/10.5281/zenodo.14642378" xr:uid="{00000000-0004-0000-0100-0000ED000000}"/>
    <hyperlink ref="C240" r:id="rId239" tooltip="https://doi.org/10.5281/zenodo.14642378" xr:uid="{00000000-0004-0000-0100-0000EE000000}"/>
    <hyperlink ref="C241" r:id="rId240" tooltip="https://doi.org/10.6084/m9.figshare.c.5601537.v1" xr:uid="{00000000-0004-0000-0100-0000EF000000}"/>
    <hyperlink ref="C242" r:id="rId241" tooltip="https://doi.org/10.6084/m9.figshare.c.5601537.v1" xr:uid="{00000000-0004-0000-0100-0000F0000000}"/>
    <hyperlink ref="C243" r:id="rId242" tooltip="https://doi.org/10.5281/zenodo.14642378" xr:uid="{00000000-0004-0000-0100-0000F1000000}"/>
    <hyperlink ref="C244" r:id="rId243" tooltip="https://doi.org/10.5281/zenodo.14642378" xr:uid="{00000000-0004-0000-0100-0000F2000000}"/>
    <hyperlink ref="C245" r:id="rId244" tooltip="https://doi.org/10.5281/zenodo.14642378" xr:uid="{00000000-0004-0000-0100-0000F3000000}"/>
    <hyperlink ref="C246" r:id="rId245" tooltip="https://doi.org/10.5281/zenodo.14642378" xr:uid="{00000000-0004-0000-0100-0000F4000000}"/>
    <hyperlink ref="C247" r:id="rId246" tooltip="https://doi.org/10.5281/zenodo.14642378" xr:uid="{00000000-0004-0000-0100-0000F5000000}"/>
    <hyperlink ref="C248" r:id="rId247" tooltip="https://doi.org/10.5281/zenodo.14642378" xr:uid="{00000000-0004-0000-0100-0000F6000000}"/>
    <hyperlink ref="C249" r:id="rId248" tooltip="https://doi.org/10.5281/zenodo.14642378" xr:uid="{00000000-0004-0000-0100-0000F7000000}"/>
    <hyperlink ref="C250" r:id="rId249" tooltip="https://doi.org/10.5281/zenodo.14642378" xr:uid="{00000000-0004-0000-0100-0000F8000000}"/>
    <hyperlink ref="C251" r:id="rId250" tooltip="https://doi.org/10.6084/m9.figshare.19858927.v3" xr:uid="{00000000-0004-0000-0100-0000F9000000}"/>
    <hyperlink ref="C252" r:id="rId251" tooltip="https://doi.org/10.5281/zenodo.14642378" xr:uid="{00000000-0004-0000-0100-0000FA000000}"/>
    <hyperlink ref="C253" r:id="rId252" tooltip="https://doi.org/10.5281/zenodo.14642378" xr:uid="{00000000-0004-0000-0100-0000FB000000}"/>
    <hyperlink ref="C254" r:id="rId253" tooltip="https://doi.org/10.5281/zenodo.14642378" xr:uid="{00000000-0004-0000-0100-0000FC000000}"/>
    <hyperlink ref="C255" r:id="rId254" tooltip="https://doi.org/10.5281/zenodo.14642378" xr:uid="{00000000-0004-0000-0100-0000FD000000}"/>
    <hyperlink ref="C256" r:id="rId255" tooltip="https://doi.org/10.6084/m9.figshare.c.5601537.v1" xr:uid="{00000000-0004-0000-0100-0000FE000000}"/>
    <hyperlink ref="C257" r:id="rId256" tooltip="https://doi.org/10.6084/m9.figshare.c.5601537.v1" xr:uid="{00000000-0004-0000-0100-0000FF000000}"/>
    <hyperlink ref="C258" r:id="rId257" tooltip="https://doi.org/10.5281/zenodo.14642378" xr:uid="{00000000-0004-0000-0100-000000010000}"/>
    <hyperlink ref="C259" r:id="rId258" tooltip="https://doi.org/10.5281/zenodo.14642378" xr:uid="{00000000-0004-0000-0100-000001010000}"/>
    <hyperlink ref="C260" r:id="rId259" tooltip="https://doi.org/10.5281/zenodo.14642378" xr:uid="{00000000-0004-0000-0100-000002010000}"/>
    <hyperlink ref="C261" r:id="rId260" tooltip="https://doi.org/10.5281/zenodo.14642378" xr:uid="{00000000-0004-0000-0100-000003010000}"/>
    <hyperlink ref="C262" r:id="rId261" tooltip="https://doi.org/10.5281/zenodo.14642378" xr:uid="{00000000-0004-0000-0100-000004010000}"/>
    <hyperlink ref="C263" r:id="rId262" tooltip="https://doi.org/10.5281/zenodo.14642378" xr:uid="{00000000-0004-0000-0100-000005010000}"/>
    <hyperlink ref="C264" r:id="rId263" tooltip="https://doi.org/10.5281/zenodo.14642378" xr:uid="{00000000-0004-0000-0100-000006010000}"/>
    <hyperlink ref="C265" r:id="rId264" tooltip="https://doi.org/10.5281/zenodo.14642378" xr:uid="{00000000-0004-0000-0100-000007010000}"/>
    <hyperlink ref="C266" r:id="rId265" tooltip="https://doi.org/10.6084/m9.figshare.19858927.v3" xr:uid="{00000000-0004-0000-0100-000008010000}"/>
    <hyperlink ref="C267" r:id="rId266" tooltip="https://doi.org/10.5281/zenodo.14642378" xr:uid="{00000000-0004-0000-0100-000009010000}"/>
    <hyperlink ref="C268" r:id="rId267" tooltip="https://doi.org/10.5281/zenodo.14642378" xr:uid="{00000000-0004-0000-0100-00000A010000}"/>
    <hyperlink ref="C269" r:id="rId268" tooltip="https://doi.org/10.5281/zenodo.14642378" xr:uid="{00000000-0004-0000-0100-00000B010000}"/>
    <hyperlink ref="C270" r:id="rId269" tooltip="https://doi.org/10.5281/zenodo.14642378" xr:uid="{00000000-0004-0000-0100-00000C010000}"/>
    <hyperlink ref="C271" r:id="rId270" tooltip="https://doi.org/10.6084/m9.figshare.c.5601537.v1" xr:uid="{00000000-0004-0000-0100-00000D010000}"/>
    <hyperlink ref="C272" r:id="rId271" tooltip="https://doi.org/10.6084/m9.figshare.c.5601537.v1" xr:uid="{00000000-0004-0000-0100-00000E010000}"/>
    <hyperlink ref="C273" r:id="rId272" tooltip="https://doi.org/10.5281/zenodo.14642378" xr:uid="{00000000-0004-0000-0100-00000F010000}"/>
    <hyperlink ref="C274" r:id="rId273" tooltip="https://doi.org/10.5281/zenodo.14642378" xr:uid="{00000000-0004-0000-0100-000010010000}"/>
    <hyperlink ref="C275" r:id="rId274" tooltip="https://doi.org/10.5281/zenodo.14642378" xr:uid="{00000000-0004-0000-0100-000011010000}"/>
    <hyperlink ref="C276" r:id="rId275" tooltip="https://doi.org/10.5281/zenodo.14642378" xr:uid="{00000000-0004-0000-0100-000012010000}"/>
    <hyperlink ref="C277" r:id="rId276" tooltip="https://doi.org/10.5281/zenodo.14642378" xr:uid="{00000000-0004-0000-0100-000013010000}"/>
    <hyperlink ref="C278" r:id="rId277" tooltip="https://doi.org/10.5281/zenodo.14642378" xr:uid="{00000000-0004-0000-0100-000014010000}"/>
    <hyperlink ref="C279" r:id="rId278" tooltip="https://doi.org/10.5281/zenodo.14642378" xr:uid="{00000000-0004-0000-0100-000015010000}"/>
    <hyperlink ref="C280" r:id="rId279" tooltip="https://doi.org/10.5281/zenodo.14642378" xr:uid="{00000000-0004-0000-0100-000016010000}"/>
    <hyperlink ref="C281" r:id="rId280" tooltip="https://doi.org/10.6084/m9.figshare.19858927.v3" xr:uid="{00000000-0004-0000-0100-000017010000}"/>
    <hyperlink ref="C282" r:id="rId281" tooltip="https://doi.org/10.6084/m9.figshare.19858927.v3" xr:uid="{00000000-0004-0000-0100-000018010000}"/>
    <hyperlink ref="C283" r:id="rId282" tooltip="https://doi.org/10.5281/zenodo.14642378" xr:uid="{00000000-0004-0000-0100-000019010000}"/>
    <hyperlink ref="C284" r:id="rId283" tooltip="https://doi.org/10.5281/zenodo.14642378" xr:uid="{00000000-0004-0000-0100-00001A010000}"/>
    <hyperlink ref="C285" r:id="rId284" tooltip="https://doi.org/10.5281/zenodo.14642378" xr:uid="{00000000-0004-0000-0100-00001B010000}"/>
    <hyperlink ref="C286" r:id="rId285" tooltip="https://doi.org/10.5281/zenodo.14642378" xr:uid="{00000000-0004-0000-0100-00001C010000}"/>
    <hyperlink ref="C287" r:id="rId286" tooltip="https://doi.org/10.6084/m9.figshare.c.5601537.v1" xr:uid="{00000000-0004-0000-0100-00001D010000}"/>
    <hyperlink ref="C288" r:id="rId287" tooltip="https://doi.org/10.6084/m9.figshare.c.5601537.v1" xr:uid="{00000000-0004-0000-0100-00001E010000}"/>
    <hyperlink ref="C289" r:id="rId288" tooltip="https://doi.org/10.5281/zenodo.14642378" xr:uid="{00000000-0004-0000-0100-00001F010000}"/>
    <hyperlink ref="C290" r:id="rId289" tooltip="https://doi.org/10.5281/zenodo.14642378" xr:uid="{00000000-0004-0000-0100-000020010000}"/>
    <hyperlink ref="C291" r:id="rId290" tooltip="https://doi.org/10.5281/zenodo.14642378" xr:uid="{00000000-0004-0000-0100-000021010000}"/>
    <hyperlink ref="C292" r:id="rId291" tooltip="https://doi.org/10.5281/zenodo.14642378" xr:uid="{00000000-0004-0000-0100-000022010000}"/>
    <hyperlink ref="C293" r:id="rId292" tooltip="https://doi.org/10.5281/zenodo.14642378" xr:uid="{00000000-0004-0000-0100-000023010000}"/>
    <hyperlink ref="C294" r:id="rId293" tooltip="https://doi.org/10.5281/zenodo.14642378" xr:uid="{00000000-0004-0000-0100-000024010000}"/>
    <hyperlink ref="C295" r:id="rId294" tooltip="https://doi.org/10.5281/zenodo.14642378" xr:uid="{00000000-0004-0000-0100-000025010000}"/>
    <hyperlink ref="C296" r:id="rId295" tooltip="https://doi.org/10.5281/zenodo.14642378" xr:uid="{00000000-0004-0000-0100-000026010000}"/>
    <hyperlink ref="C297" r:id="rId296" tooltip="https://doi.org/10.6084/m9.figshare.19858927.v3" xr:uid="{00000000-0004-0000-0100-000027010000}"/>
    <hyperlink ref="C298" r:id="rId297" tooltip="https://doi.org/10.5281/zenodo.14642378" xr:uid="{00000000-0004-0000-0100-000028010000}"/>
    <hyperlink ref="C299" r:id="rId298" tooltip="https://doi.org/10.5281/zenodo.14642378" xr:uid="{00000000-0004-0000-0100-000029010000}"/>
    <hyperlink ref="C300" r:id="rId299" tooltip="https://doi.org/10.5281/zenodo.14642378" xr:uid="{00000000-0004-0000-0100-00002A010000}"/>
    <hyperlink ref="C301" r:id="rId300" tooltip="https://doi.org/10.5281/zenodo.14642378" xr:uid="{00000000-0004-0000-0100-00002B010000}"/>
    <hyperlink ref="C302" r:id="rId301" tooltip="https://doi.org/10.6084/m9.figshare.c.5601537.v1" xr:uid="{00000000-0004-0000-0100-00002C010000}"/>
    <hyperlink ref="C303" r:id="rId302" tooltip="https://doi.org/10.6084/m9.figshare.c.5601537.v1" xr:uid="{00000000-0004-0000-0100-00002D010000}"/>
    <hyperlink ref="C304" r:id="rId303" tooltip="https://doi.org/10.5281/zenodo.14642378" xr:uid="{00000000-0004-0000-0100-00002E010000}"/>
    <hyperlink ref="C305" r:id="rId304" tooltip="https://doi.org/10.5281/zenodo.14642378" xr:uid="{00000000-0004-0000-0100-00002F010000}"/>
    <hyperlink ref="C306" r:id="rId305" tooltip="https://doi.org/10.5281/zenodo.14642378" xr:uid="{00000000-0004-0000-0100-000030010000}"/>
    <hyperlink ref="C307" r:id="rId306" tooltip="https://doi.org/10.5281/zenodo.14642378" xr:uid="{00000000-0004-0000-0100-000031010000}"/>
    <hyperlink ref="C308" r:id="rId307" tooltip="https://doi.org/10.5281/zenodo.14642378" xr:uid="{00000000-0004-0000-0100-000032010000}"/>
    <hyperlink ref="C309" r:id="rId308" tooltip="https://doi.org/10.5281/zenodo.14642378" xr:uid="{00000000-0004-0000-0100-000033010000}"/>
    <hyperlink ref="C310" r:id="rId309" tooltip="https://doi.org/10.5281/zenodo.14642378" xr:uid="{00000000-0004-0000-0100-000034010000}"/>
    <hyperlink ref="C311" r:id="rId310" tooltip="https://doi.org/10.5281/zenodo.14642378" xr:uid="{00000000-0004-0000-0100-000035010000}"/>
    <hyperlink ref="C312" r:id="rId311" tooltip="https://doi.org/10.6084/m9.figshare.19858927.v3" xr:uid="{00000000-0004-0000-0100-000036010000}"/>
    <hyperlink ref="C313" r:id="rId312" tooltip="https://doi.org/10.5281/zenodo.14642378" xr:uid="{00000000-0004-0000-0100-000037010000}"/>
    <hyperlink ref="C314" r:id="rId313" tooltip="https://doi.org/10.5281/zenodo.14642378" xr:uid="{00000000-0004-0000-0100-000038010000}"/>
    <hyperlink ref="C315" r:id="rId314" tooltip="https://doi.org/10.5281/zenodo.14642378" xr:uid="{00000000-0004-0000-0100-000039010000}"/>
    <hyperlink ref="C316" r:id="rId315" tooltip="https://doi.org/10.5281/zenodo.14642378" xr:uid="{00000000-0004-0000-0100-00003A010000}"/>
    <hyperlink ref="C317" r:id="rId316" tooltip="https://doi.org/10.6084/m9.figshare.c.5601537.v1" xr:uid="{00000000-0004-0000-0100-00003B010000}"/>
    <hyperlink ref="C318" r:id="rId317" tooltip="https://doi.org/10.6084/m9.figshare.c.5601537.v1" xr:uid="{00000000-0004-0000-0100-00003C010000}"/>
    <hyperlink ref="C319" r:id="rId318" tooltip="https://doi.org/10.5281/zenodo.14642378" xr:uid="{00000000-0004-0000-0100-00003D010000}"/>
    <hyperlink ref="C320" r:id="rId319" tooltip="https://doi.org/10.5281/zenodo.14642378" xr:uid="{00000000-0004-0000-0100-00003E010000}"/>
    <hyperlink ref="C321" r:id="rId320" tooltip="https://doi.org/10.5281/zenodo.14642378" xr:uid="{00000000-0004-0000-0100-00003F010000}"/>
    <hyperlink ref="C322" r:id="rId321" tooltip="https://doi.org/10.5281/zenodo.14642378" xr:uid="{00000000-0004-0000-0100-000040010000}"/>
    <hyperlink ref="C323" r:id="rId322" tooltip="https://doi.org/10.5281/zenodo.14642378" xr:uid="{00000000-0004-0000-0100-000041010000}"/>
    <hyperlink ref="C324" r:id="rId323" tooltip="https://doi.org/10.5281/zenodo.14642378" xr:uid="{00000000-0004-0000-0100-000042010000}"/>
    <hyperlink ref="C325" r:id="rId324" tooltip="https://doi.org/10.5281/zenodo.14642378" xr:uid="{00000000-0004-0000-0100-000043010000}"/>
    <hyperlink ref="C326" r:id="rId325" tooltip="https://doi.org/10.5281/zenodo.14642378" xr:uid="{00000000-0004-0000-0100-000044010000}"/>
    <hyperlink ref="C327" r:id="rId326" tooltip="https://doi.org/10.6084/m9.figshare.19858927.v3" xr:uid="{00000000-0004-0000-0100-000045010000}"/>
    <hyperlink ref="C328" r:id="rId327" tooltip="https://doi.org/10.5281/zenodo.14642378" xr:uid="{00000000-0004-0000-0100-000046010000}"/>
    <hyperlink ref="C329" r:id="rId328" tooltip="https://doi.org/10.5281/zenodo.14642378" xr:uid="{00000000-0004-0000-0100-000047010000}"/>
    <hyperlink ref="C330" r:id="rId329" tooltip="https://doi.org/10.5281/zenodo.14642378" xr:uid="{00000000-0004-0000-0100-000048010000}"/>
    <hyperlink ref="C331" r:id="rId330" tooltip="https://doi.org/10.5281/zenodo.14642378" xr:uid="{00000000-0004-0000-0100-000049010000}"/>
    <hyperlink ref="C332" r:id="rId331" tooltip="https://services1.arcgis.com/jUJYIo9tSA7EHvfZ/arcgis/rest/services/LNU_Complex_Perimeter_20200828/FeatureServer/0/query?objectIds=1&amp;outFields=%2A&amp;returnGeometry=false&amp;f=pjson" xr:uid="{00000000-0004-0000-0100-00004A010000}"/>
    <hyperlink ref="C333" r:id="rId332" tooltip="https://services1.arcgis.com/jUJYIo9tSA7EHvfZ/arcgis/rest/services/LNU_Complex_Perimeter_20200828/FeatureServer/0/query?objectIds=2&amp;outFields=%2A&amp;returnGeometry=false&amp;f=pjson" xr:uid="{00000000-0004-0000-0100-00004B010000}"/>
    <hyperlink ref="C334" r:id="rId333" tooltip="https://services1.arcgis.com/jUJYIo9tSA7EHvfZ/arcgis/rest/services/LNU_Complex_Perimeter_20200828/FeatureServer/0/query?objectIds=3&amp;outFields=%2A&amp;returnGeometry=false&amp;f=pjson" xr:uid="{00000000-0004-0000-0100-00004C010000}"/>
    <hyperlink ref="C335" r:id="rId334" tooltip="https://doi.org/10.6084/m9.figshare.c.5601537.v1" xr:uid="{00000000-0004-0000-0100-00004D010000}"/>
    <hyperlink ref="C336" r:id="rId335" tooltip="https://doi.org/10.6084/m9.figshare.c.5601537.v1" xr:uid="{00000000-0004-0000-0100-00004E010000}"/>
    <hyperlink ref="C337" r:id="rId336" tooltip="https://doi.org/10.5281/zenodo.14642378" xr:uid="{00000000-0004-0000-0100-00004F010000}"/>
    <hyperlink ref="C338" r:id="rId337" tooltip="https://doi.org/10.5281/zenodo.14642378" xr:uid="{00000000-0004-0000-0100-000050010000}"/>
    <hyperlink ref="C339" r:id="rId338" tooltip="https://doi.org/10.5281/zenodo.14642378" xr:uid="{00000000-0004-0000-0100-000051010000}"/>
    <hyperlink ref="C340" r:id="rId339" tooltip="https://doi.org/10.5281/zenodo.14642378" xr:uid="{00000000-0004-0000-0100-000052010000}"/>
    <hyperlink ref="C341" r:id="rId340" tooltip="https://doi.org/10.5281/zenodo.14642378" xr:uid="{00000000-0004-0000-0100-000053010000}"/>
    <hyperlink ref="C342" r:id="rId341" tooltip="https://doi.org/10.5281/zenodo.14642378" xr:uid="{00000000-0004-0000-0100-000054010000}"/>
    <hyperlink ref="C343" r:id="rId342" tooltip="https://doi.org/10.5281/zenodo.14642378" xr:uid="{00000000-0004-0000-0100-000055010000}"/>
    <hyperlink ref="C344" r:id="rId343" tooltip="https://doi.org/10.5281/zenodo.14642378" xr:uid="{00000000-0004-0000-0100-000056010000}"/>
    <hyperlink ref="C345" r:id="rId344" tooltip="https://doi.org/10.6084/m9.figshare.19858927.v3" xr:uid="{00000000-0004-0000-0100-000057010000}"/>
    <hyperlink ref="C346" r:id="rId345" tooltip="https://doi.org/10.5281/zenodo.14642378" xr:uid="{00000000-0004-0000-0100-000058010000}"/>
    <hyperlink ref="C347" r:id="rId346" tooltip="https://doi.org/10.5281/zenodo.14642378" xr:uid="{00000000-0004-0000-0100-000059010000}"/>
    <hyperlink ref="C348" r:id="rId347" tooltip="https://doi.org/10.5281/zenodo.14642378" xr:uid="{00000000-0004-0000-0100-00005A010000}"/>
    <hyperlink ref="C349" r:id="rId348" tooltip="https://doi.org/10.5281/zenodo.14642378" xr:uid="{00000000-0004-0000-0100-00005B010000}"/>
    <hyperlink ref="C350" r:id="rId349" tooltip="https://doi.org/10.6084/m9.figshare.c.5601537.v1" xr:uid="{00000000-0004-0000-0100-00005C010000}"/>
    <hyperlink ref="C351" r:id="rId350" tooltip="https://doi.org/10.6084/m9.figshare.c.5601537.v1" xr:uid="{00000000-0004-0000-0100-00005D010000}"/>
    <hyperlink ref="C352" r:id="rId351" tooltip="https://doi.org/10.5281/zenodo.14642378" xr:uid="{00000000-0004-0000-0100-00005E010000}"/>
    <hyperlink ref="C353" r:id="rId352" tooltip="https://doi.org/10.5281/zenodo.14642378" xr:uid="{00000000-0004-0000-0100-00005F010000}"/>
    <hyperlink ref="C354" r:id="rId353" tooltip="https://doi.org/10.5281/zenodo.14642378" xr:uid="{00000000-0004-0000-0100-000060010000}"/>
    <hyperlink ref="C355" r:id="rId354" tooltip="https://doi.org/10.6084/m9.figshare.19858927.v3" xr:uid="{00000000-0004-0000-0100-000061010000}"/>
    <hyperlink ref="C356" r:id="rId355" tooltip="https://doi.org/10.6084/m9.figshare.c.5601537.v1" xr:uid="{00000000-0004-0000-0100-000062010000}"/>
    <hyperlink ref="C357" r:id="rId356" tooltip="https://doi.org/10.6084/m9.figshare.c.5601537.v1" xr:uid="{00000000-0004-0000-0100-000063010000}"/>
    <hyperlink ref="C358" r:id="rId357" tooltip="https://doi.org/10.6084/m9.figshare.19858927.v3" xr:uid="{00000000-0004-0000-0100-000064010000}"/>
    <hyperlink ref="C359" r:id="rId358" tooltip="https://doi.org/10.6084/m9.figshare.c.5601537.v1" xr:uid="{00000000-0004-0000-0100-000065010000}"/>
    <hyperlink ref="C360" r:id="rId359" tooltip="https://doi.org/10.6084/m9.figshare.19858927.v3" xr:uid="{00000000-0004-0000-0100-000066010000}"/>
    <hyperlink ref="C361" r:id="rId360" tooltip="https://doi.org/10.6084/m9.figshare.c.5601537.v1" xr:uid="{00000000-0004-0000-0100-000067010000}"/>
    <hyperlink ref="C362" r:id="rId361" tooltip="https://doi.org/10.6084/m9.figshare.19858927.v3" xr:uid="{00000000-0004-0000-0100-000068010000}"/>
    <hyperlink ref="C363" r:id="rId362" tooltip="https://doi.org/10.6084/m9.figshare.c.5601537.v1" xr:uid="{00000000-0004-0000-0100-000069010000}"/>
    <hyperlink ref="C364" r:id="rId363" tooltip="https://doi.org/10.6084/m9.figshare.19858927.v3" xr:uid="{00000000-0004-0000-0100-00006A010000}"/>
    <hyperlink ref="C365" r:id="rId364" tooltip="https://doi.org/10.6084/m9.figshare.c.5601537.v1" xr:uid="{00000000-0004-0000-0100-00006B010000}"/>
    <hyperlink ref="C366" r:id="rId365" tooltip="https://doi.org/10.6084/m9.figshare.19858927.v3" xr:uid="{00000000-0004-0000-0100-00006C010000}"/>
    <hyperlink ref="C367" r:id="rId366" tooltip="https://doi.org/10.6084/m9.figshare.c.5601537.v1" xr:uid="{00000000-0004-0000-0100-00006D010000}"/>
    <hyperlink ref="C368" r:id="rId367" tooltip="https://doi.org/10.6084/m9.figshare.19858927.v3" xr:uid="{00000000-0004-0000-0100-00006E010000}"/>
    <hyperlink ref="C369" r:id="rId368" tooltip="https://doi.org/10.6084/m9.figshare.c.5601537.v1" xr:uid="{00000000-0004-0000-0100-00006F010000}"/>
    <hyperlink ref="C370" r:id="rId369" tooltip="https://assets1.cbsnewsstatic.com/i/cbslocal/wp-content/uploads/sites/15116056/2020/09/LNU-Lightning-Complex-Incident-Update-9.1.2020-7AM.pdf" xr:uid="{00000000-0004-0000-0100-000070010000}"/>
    <hyperlink ref="C371" r:id="rId370" tooltip="https://assets1.cbsnewsstatic.com/i/cbslocal/wp-content/uploads/sites/15116056/2020/09/LNU-Lightning-Complex-Incident-Update-9.1.2020-7AM.pdf" xr:uid="{00000000-0004-0000-0100-000071010000}"/>
    <hyperlink ref="C372" r:id="rId371" tooltip="https://assets1.cbsnewsstatic.com/i/cbslocal/wp-content/uploads/sites/15116056/2020/09/LNU-Lightning-Complex-Incident-Update-9.1.2020-7AM.pdf" xr:uid="{00000000-0004-0000-0100-000072010000}"/>
    <hyperlink ref="C373" r:id="rId372" tooltip="https://assets1.cbsnewsstatic.com/i/cbslocal/wp-content/uploads/sites/15116056/2020/09/LNU-Lightning-Complex-Incident-Update-9.1.2020-7AM.pdf" xr:uid="{00000000-0004-0000-0100-000073010000}"/>
    <hyperlink ref="C374" r:id="rId373" tooltip="https://doi.org/10.6084/m9.figshare.19858927.v3" xr:uid="{00000000-0004-0000-0100-000074010000}"/>
    <hyperlink ref="C375" r:id="rId374" tooltip="https://doi.org/10.6084/m9.figshare.c.5601537.v1" xr:uid="{00000000-0004-0000-0100-000075010000}"/>
    <hyperlink ref="C376" r:id="rId375" tooltip="https://doi.org/10.6084/m9.figshare.19858927.v3" xr:uid="{00000000-0004-0000-0100-000076010000}"/>
    <hyperlink ref="C377" r:id="rId376" tooltip="https://doi.org/10.6084/m9.figshare.19858927.v3" xr:uid="{00000000-0004-0000-0100-000077010000}"/>
    <hyperlink ref="C378" r:id="rId377" tooltip="https://doi.org/10.6084/m9.figshare.19858927.v3" xr:uid="{00000000-0004-0000-0100-000078010000}"/>
    <hyperlink ref="C379" r:id="rId378" tooltip="https://doi.org/10.3390/rs16163050" xr:uid="{00000000-0004-0000-0100-000079010000}"/>
    <hyperlink ref="C380" r:id="rId379" tooltip="https://doi.org/10.6084/m9.figshare.19858927.v3" xr:uid="{00000000-0004-0000-0100-00007A010000}"/>
    <hyperlink ref="C381" r:id="rId380" tooltip="https://doi.org/10.6084/m9.figshare.19858927.v3" xr:uid="{00000000-0004-0000-0100-00007B010000}"/>
    <hyperlink ref="C382" r:id="rId381" tooltip="https://doi.org/10.6084/m9.figshare.19858927.v3" xr:uid="{00000000-0004-0000-0100-00007C010000}"/>
    <hyperlink ref="C383" r:id="rId382" tooltip="https://doi.org/10.6084/m9.figshare.19858927.v3" xr:uid="{00000000-0004-0000-0100-00007D010000}"/>
    <hyperlink ref="C384" r:id="rId383" tooltip="https://doi.org/10.6084/m9.figshare.19858927.v3" xr:uid="{00000000-0004-0000-0100-00007E010000}"/>
    <hyperlink ref="C385" r:id="rId384" tooltip="https://doi.org/10.6084/m9.figshare.19858927.v3" xr:uid="{00000000-0004-0000-0100-00007F010000}"/>
    <hyperlink ref="C386" r:id="rId385" tooltip="https://doi.org/10.6084/m9.figshare.19858927.v3" xr:uid="{00000000-0004-0000-0100-000080010000}"/>
    <hyperlink ref="C387" r:id="rId386" tooltip="https://doi.org/10.6084/m9.figshare.19858927.v3" xr:uid="{00000000-0004-0000-0100-000081010000}"/>
    <hyperlink ref="C388" r:id="rId387" tooltip="https://doi.org/10.6084/m9.figshare.19858927.v3" xr:uid="{00000000-0004-0000-0100-000082010000}"/>
    <hyperlink ref="C389" r:id="rId388" tooltip="https://doi.org/10.6084/m9.figshare.19858927.v3" xr:uid="{00000000-0004-0000-0100-000083010000}"/>
    <hyperlink ref="C390" r:id="rId389" tooltip="https://doi.org/10.6084/m9.figshare.19858927.v3" xr:uid="{00000000-0004-0000-0100-000084010000}"/>
    <hyperlink ref="C391" r:id="rId390" tooltip="https://doi.org/10.6084/m9.figshare.19858927.v3" xr:uid="{00000000-0004-0000-0100-000085010000}"/>
    <hyperlink ref="C392" r:id="rId391" tooltip="https://doi.org/10.6084/m9.figshare.19858927.v3" xr:uid="{00000000-0004-0000-0100-000086010000}"/>
    <hyperlink ref="C393" r:id="rId392" tooltip="https://doi.org/10.6084/m9.figshare.19858927.v3" xr:uid="{00000000-0004-0000-0100-000087010000}"/>
    <hyperlink ref="C394" r:id="rId393" tooltip="https://doi.org/10.6084/m9.figshare.19858927.v3" xr:uid="{00000000-0004-0000-0100-000088010000}"/>
    <hyperlink ref="C395" r:id="rId394" tooltip="https://doi.org/10.6084/m9.figshare.19858927.v3" xr:uid="{00000000-0004-0000-0100-000089010000}"/>
    <hyperlink ref="C396" r:id="rId395" tooltip="https://doi.org/10.6084/m9.figshare.19858927.v3" xr:uid="{00000000-0004-0000-0100-00008A010000}"/>
    <hyperlink ref="C397" r:id="rId396" tooltip="https://doi.org/10.6084/m9.figshare.19858927.v3" xr:uid="{00000000-0004-0000-0100-00008B010000}"/>
    <hyperlink ref="C398" r:id="rId397" tooltip="https://doi.org/10.6084/m9.figshare.19858927.v3" xr:uid="{00000000-0004-0000-0100-00008C010000}"/>
    <hyperlink ref="C399" r:id="rId398" tooltip="https://doi.org/10.6084/m9.figshare.19858927.v3" xr:uid="{00000000-0004-0000-0100-00008D010000}"/>
    <hyperlink ref="C400" r:id="rId399" tooltip="https://doi.org/10.6084/m9.figshare.19858927.v3" xr:uid="{00000000-0004-0000-0100-00008E010000}"/>
    <hyperlink ref="C401" r:id="rId400" tooltip="https://doi.org/10.6084/m9.figshare.19858927.v3" xr:uid="{00000000-0004-0000-0100-00008F010000}"/>
    <hyperlink ref="C402" r:id="rId401" tooltip="https://doi.org/10.6084/m9.figshare.19858927.v3" xr:uid="{00000000-0004-0000-0100-000090010000}"/>
    <hyperlink ref="C403" r:id="rId402" tooltip="https://doi.org/10.6084/m9.figshare.19858927.v3" xr:uid="{00000000-0004-0000-0100-000091010000}"/>
    <hyperlink ref="C404" r:id="rId403" tooltip="https://lakeconews.com/news/66725-officials-lnu-lightning-complex-expected-to-be-fully-contained-at-start-of-october" xr:uid="{00000000-0004-0000-0100-000092010000}"/>
    <hyperlink ref="C405" r:id="rId404" tooltip="https://lakeconews.com/news/66725-officials-lnu-lightning-complex-expected-to-be-fully-contained-at-start-of-october" xr:uid="{00000000-0004-0000-0100-000093010000}"/>
    <hyperlink ref="C406" r:id="rId405" tooltip="https://lakeconews.com/news/66725-officials-lnu-lightning-complex-expected-to-be-fully-contained-at-start-of-october" xr:uid="{00000000-0004-0000-0100-000094010000}"/>
    <hyperlink ref="C407" r:id="rId406" tooltip="https://lakeconews.com/news/66725-officials-lnu-lightning-complex-expected-to-be-fully-contained-at-start-of-october" xr:uid="{00000000-0004-0000-0100-000095010000}"/>
    <hyperlink ref="C408" r:id="rId407" tooltip="https://doi.org/10.6084/m9.figshare.19858927.v3" xr:uid="{00000000-0004-0000-0100-000096010000}"/>
    <hyperlink ref="C409" r:id="rId408" tooltip="https://doi.org/10.6084/m9.figshare.19858927.v3" xr:uid="{00000000-0004-0000-0100-000097010000}"/>
    <hyperlink ref="C410" r:id="rId409" tooltip="https://doi.org/10.6084/m9.figshare.19858927.v3" xr:uid="{00000000-0004-0000-0100-000098010000}"/>
    <hyperlink ref="C411" r:id="rId410" tooltip="https://www.fire.ca.gov/incidents/2020/8/17/lnu-lightning-complex" xr:uid="{00000000-0004-0000-0100-000099010000}"/>
    <hyperlink ref="C412" r:id="rId411" tooltip="https://doi.org/10.3390/rs16163050" xr:uid="{00000000-0004-0000-0100-00009A010000}"/>
  </hyperlinks>
  <pageMargins left="0.7" right="0.7" top="0.75" bottom="0.75" header="0.3" footer="0.3"/>
  <tableParts count="1">
    <tablePart r:id="rId4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0"/>
  <sheetViews>
    <sheetView showGridLines="0" workbookViewId="0">
      <pane ySplit="1" topLeftCell="A2" activePane="bottomLeft" state="frozen"/>
      <selection pane="bottomLeft" activeCell="C10" sqref="C10"/>
    </sheetView>
  </sheetViews>
  <sheetFormatPr defaultRowHeight="13.8"/>
  <cols>
    <col min="1" max="1" width="31" style="3" customWidth="1"/>
    <col min="2" max="2" width="14" style="3" customWidth="1"/>
    <col min="3" max="3" width="40" style="3" customWidth="1"/>
    <col min="4" max="4" width="43" style="3" customWidth="1"/>
    <col min="5" max="5" width="52" style="11" customWidth="1"/>
    <col min="6" max="16384" width="8.76171875" style="3"/>
  </cols>
  <sheetData>
    <row r="1" spans="1:5" ht="32.049999999999997" customHeight="1">
      <c r="A1" s="1" t="s">
        <v>111</v>
      </c>
      <c r="B1" s="1" t="s">
        <v>1</v>
      </c>
      <c r="C1" s="1" t="s">
        <v>2</v>
      </c>
      <c r="D1" s="1" t="s">
        <v>3</v>
      </c>
      <c r="E1" s="10" t="s">
        <v>4</v>
      </c>
    </row>
    <row r="2" spans="1:5" ht="90" customHeight="1">
      <c r="A2" s="9">
        <v>43304</v>
      </c>
      <c r="B2" s="5"/>
      <c r="C2" s="6" t="s">
        <v>323</v>
      </c>
      <c r="D2" s="7" t="s">
        <v>324</v>
      </c>
      <c r="E2" s="2" t="s">
        <v>325</v>
      </c>
    </row>
    <row r="3" spans="1:5" ht="76" customHeight="1">
      <c r="A3" s="9">
        <v>43304</v>
      </c>
      <c r="B3" s="5"/>
      <c r="C3" s="6" t="s">
        <v>326</v>
      </c>
      <c r="D3" s="7" t="s">
        <v>327</v>
      </c>
      <c r="E3" s="2" t="s">
        <v>328</v>
      </c>
    </row>
    <row r="4" spans="1:5" ht="27" customHeight="1">
      <c r="A4" s="14">
        <v>43304.479166666664</v>
      </c>
      <c r="B4" s="5">
        <v>1479.2310140699999</v>
      </c>
      <c r="C4" s="6" t="s">
        <v>12</v>
      </c>
      <c r="D4" s="7" t="s">
        <v>329</v>
      </c>
      <c r="E4" s="2"/>
    </row>
    <row r="5" spans="1:5" ht="27" customHeight="1">
      <c r="A5" s="14">
        <v>43304.543055555558</v>
      </c>
      <c r="B5" s="5">
        <v>3127.5770824699998</v>
      </c>
      <c r="C5" s="6" t="s">
        <v>12</v>
      </c>
      <c r="D5" s="7" t="s">
        <v>17</v>
      </c>
      <c r="E5" s="2"/>
    </row>
    <row r="6" spans="1:5" ht="76" customHeight="1">
      <c r="A6" s="14">
        <v>43304.54791666667</v>
      </c>
      <c r="B6" s="5"/>
      <c r="C6" s="6" t="s">
        <v>330</v>
      </c>
      <c r="D6" s="7" t="s">
        <v>331</v>
      </c>
      <c r="E6" s="2" t="s">
        <v>332</v>
      </c>
    </row>
    <row r="7" spans="1:5" ht="62.05" customHeight="1">
      <c r="A7" s="14">
        <v>43304.552083333336</v>
      </c>
      <c r="B7" s="5"/>
      <c r="C7" s="6" t="s">
        <v>333</v>
      </c>
      <c r="D7" s="7" t="s">
        <v>122</v>
      </c>
      <c r="E7" s="2" t="s">
        <v>334</v>
      </c>
    </row>
    <row r="8" spans="1:5" ht="62.05" customHeight="1">
      <c r="A8" s="14">
        <v>43304.563888888886</v>
      </c>
      <c r="B8" s="8">
        <v>20</v>
      </c>
      <c r="C8" s="6" t="s">
        <v>335</v>
      </c>
      <c r="D8" s="7" t="s">
        <v>336</v>
      </c>
      <c r="E8" s="2" t="s">
        <v>337</v>
      </c>
    </row>
    <row r="9" spans="1:5" ht="48" customHeight="1">
      <c r="A9" s="14">
        <v>43304.770833333336</v>
      </c>
      <c r="B9" s="8">
        <v>1500</v>
      </c>
      <c r="C9" s="6" t="s">
        <v>9</v>
      </c>
      <c r="D9" s="7" t="s">
        <v>10</v>
      </c>
      <c r="E9" s="2" t="s">
        <v>338</v>
      </c>
    </row>
    <row r="10" spans="1:5" ht="76" customHeight="1">
      <c r="A10" s="9">
        <v>43305</v>
      </c>
      <c r="B10" s="5"/>
      <c r="C10" s="6" t="s">
        <v>339</v>
      </c>
      <c r="D10" s="7" t="s">
        <v>340</v>
      </c>
      <c r="E10" s="2" t="s">
        <v>341</v>
      </c>
    </row>
    <row r="11" spans="1:5" ht="48" customHeight="1">
      <c r="A11" s="14">
        <v>43305.072916666664</v>
      </c>
      <c r="B11" s="8">
        <v>2500</v>
      </c>
      <c r="C11" s="6" t="s">
        <v>9</v>
      </c>
      <c r="D11" s="7" t="s">
        <v>10</v>
      </c>
      <c r="E11" s="2" t="s">
        <v>342</v>
      </c>
    </row>
    <row r="12" spans="1:5" ht="27" customHeight="1">
      <c r="A12" s="14">
        <v>43305.138888888891</v>
      </c>
      <c r="B12" s="5">
        <v>3126.1669493499999</v>
      </c>
      <c r="C12" s="6" t="s">
        <v>12</v>
      </c>
      <c r="D12" s="7" t="s">
        <v>343</v>
      </c>
      <c r="E12" s="2"/>
    </row>
    <row r="13" spans="1:5" ht="48" customHeight="1">
      <c r="A13" s="14">
        <v>43305.333333333336</v>
      </c>
      <c r="B13" s="8">
        <v>2500</v>
      </c>
      <c r="C13" s="6" t="s">
        <v>9</v>
      </c>
      <c r="D13" s="7" t="s">
        <v>10</v>
      </c>
      <c r="E13" s="2" t="s">
        <v>342</v>
      </c>
    </row>
    <row r="14" spans="1:5" ht="48" customHeight="1">
      <c r="A14" s="14">
        <v>43305.479166666664</v>
      </c>
      <c r="B14" s="8">
        <v>2500</v>
      </c>
      <c r="C14" s="6" t="s">
        <v>9</v>
      </c>
      <c r="D14" s="7" t="s">
        <v>10</v>
      </c>
      <c r="E14" s="2" t="s">
        <v>342</v>
      </c>
    </row>
    <row r="15" spans="1:5" ht="48" customHeight="1">
      <c r="A15" s="14">
        <v>43305.53125</v>
      </c>
      <c r="B15" s="8">
        <v>3126</v>
      </c>
      <c r="C15" s="6" t="s">
        <v>9</v>
      </c>
      <c r="D15" s="7" t="s">
        <v>10</v>
      </c>
      <c r="E15" s="2" t="s">
        <v>344</v>
      </c>
    </row>
    <row r="16" spans="1:5" ht="27" customHeight="1">
      <c r="A16" s="14">
        <v>43305.638888888891</v>
      </c>
      <c r="B16" s="5">
        <v>3098.6589913600001</v>
      </c>
      <c r="C16" s="6" t="s">
        <v>12</v>
      </c>
      <c r="D16" s="7" t="s">
        <v>343</v>
      </c>
      <c r="E16" s="2"/>
    </row>
    <row r="17" spans="1:5" ht="76" customHeight="1">
      <c r="A17" s="14">
        <v>43305.791666666664</v>
      </c>
      <c r="B17" s="5"/>
      <c r="C17" s="6" t="s">
        <v>345</v>
      </c>
      <c r="D17" s="7" t="s">
        <v>346</v>
      </c>
      <c r="E17" s="2" t="s">
        <v>347</v>
      </c>
    </row>
    <row r="18" spans="1:5" ht="48" customHeight="1">
      <c r="A18" s="14">
        <v>43305.8125</v>
      </c>
      <c r="B18" s="8">
        <v>3126</v>
      </c>
      <c r="C18" s="6" t="s">
        <v>9</v>
      </c>
      <c r="D18" s="7" t="s">
        <v>10</v>
      </c>
      <c r="E18" s="2" t="s">
        <v>348</v>
      </c>
    </row>
    <row r="19" spans="1:5" ht="48" customHeight="1">
      <c r="A19" s="14">
        <v>43305.822916666664</v>
      </c>
      <c r="B19" s="8">
        <v>3126</v>
      </c>
      <c r="C19" s="6" t="s">
        <v>9</v>
      </c>
      <c r="D19" s="7" t="s">
        <v>10</v>
      </c>
      <c r="E19" s="2" t="s">
        <v>344</v>
      </c>
    </row>
    <row r="20" spans="1:5" ht="27" customHeight="1">
      <c r="A20" s="14">
        <v>43306.322916666664</v>
      </c>
      <c r="B20" s="5">
        <v>6834.3524905800004</v>
      </c>
      <c r="C20" s="6" t="s">
        <v>12</v>
      </c>
      <c r="D20" s="7" t="s">
        <v>343</v>
      </c>
      <c r="E20" s="2"/>
    </row>
    <row r="21" spans="1:5" ht="48" customHeight="1">
      <c r="A21" s="14">
        <v>43306.322916666664</v>
      </c>
      <c r="B21" s="8">
        <v>4500</v>
      </c>
      <c r="C21" s="6" t="s">
        <v>9</v>
      </c>
      <c r="D21" s="7" t="s">
        <v>10</v>
      </c>
      <c r="E21" s="2" t="s">
        <v>349</v>
      </c>
    </row>
    <row r="22" spans="1:5" ht="27" customHeight="1">
      <c r="A22" s="14">
        <v>43306.625</v>
      </c>
      <c r="B22" s="5">
        <v>7454.9661385999998</v>
      </c>
      <c r="C22" s="6" t="s">
        <v>12</v>
      </c>
      <c r="D22" s="7" t="s">
        <v>350</v>
      </c>
      <c r="E22" s="2"/>
    </row>
    <row r="23" spans="1:5" ht="27" customHeight="1">
      <c r="A23" s="14">
        <v>43306.69027777778</v>
      </c>
      <c r="B23" s="5">
        <v>11667.843097499999</v>
      </c>
      <c r="C23" s="6" t="s">
        <v>12</v>
      </c>
      <c r="D23" s="7" t="s">
        <v>17</v>
      </c>
      <c r="E23" s="2"/>
    </row>
    <row r="24" spans="1:5" ht="48" customHeight="1">
      <c r="A24" s="14">
        <v>43306.802083333336</v>
      </c>
      <c r="B24" s="8">
        <v>6773</v>
      </c>
      <c r="C24" s="6" t="s">
        <v>9</v>
      </c>
      <c r="D24" s="7" t="s">
        <v>10</v>
      </c>
      <c r="E24" s="2" t="s">
        <v>351</v>
      </c>
    </row>
    <row r="25" spans="1:5" ht="27" customHeight="1">
      <c r="A25" s="14">
        <v>43306.818055555559</v>
      </c>
      <c r="B25" s="5">
        <v>7015.8831858900003</v>
      </c>
      <c r="C25" s="6" t="s">
        <v>12</v>
      </c>
      <c r="D25" s="7" t="s">
        <v>343</v>
      </c>
      <c r="E25" s="2"/>
    </row>
    <row r="26" spans="1:5" ht="76" customHeight="1">
      <c r="A26" s="14">
        <v>43306.833333333336</v>
      </c>
      <c r="B26" s="5"/>
      <c r="C26" s="6" t="s">
        <v>352</v>
      </c>
      <c r="D26" s="7" t="s">
        <v>113</v>
      </c>
      <c r="E26" s="2" t="s">
        <v>353</v>
      </c>
    </row>
    <row r="27" spans="1:5" ht="48" customHeight="1">
      <c r="A27" s="14">
        <v>43307.291666666664</v>
      </c>
      <c r="B27" s="8">
        <v>20000</v>
      </c>
      <c r="C27" s="6" t="s">
        <v>9</v>
      </c>
      <c r="D27" s="7" t="s">
        <v>10</v>
      </c>
      <c r="E27" s="2" t="s">
        <v>354</v>
      </c>
    </row>
    <row r="28" spans="1:5" ht="27" customHeight="1">
      <c r="A28" s="14">
        <v>43307.583333333336</v>
      </c>
      <c r="B28" s="5">
        <v>48237.486334900001</v>
      </c>
      <c r="C28" s="6" t="s">
        <v>12</v>
      </c>
      <c r="D28" s="7" t="s">
        <v>343</v>
      </c>
      <c r="E28" s="2"/>
    </row>
    <row r="29" spans="1:5" ht="76" customHeight="1">
      <c r="A29" s="14">
        <v>43307.729166666664</v>
      </c>
      <c r="B29" s="5"/>
      <c r="C29" s="6" t="s">
        <v>355</v>
      </c>
      <c r="D29" s="7" t="s">
        <v>356</v>
      </c>
      <c r="E29" s="2" t="s">
        <v>357</v>
      </c>
    </row>
    <row r="30" spans="1:5" ht="27" customHeight="1">
      <c r="A30" s="14">
        <v>43307.731944444444</v>
      </c>
      <c r="B30" s="5">
        <v>44483.576930800002</v>
      </c>
      <c r="C30" s="6" t="s">
        <v>12</v>
      </c>
      <c r="D30" s="7" t="s">
        <v>17</v>
      </c>
      <c r="E30" s="2"/>
    </row>
    <row r="31" spans="1:5" ht="76" customHeight="1">
      <c r="A31" s="14">
        <v>43307.803472222222</v>
      </c>
      <c r="B31" s="5"/>
      <c r="C31" s="6" t="s">
        <v>358</v>
      </c>
      <c r="D31" s="7" t="s">
        <v>359</v>
      </c>
      <c r="E31" s="2" t="s">
        <v>360</v>
      </c>
    </row>
    <row r="32" spans="1:5" ht="90" customHeight="1">
      <c r="A32" s="14">
        <v>43307.805555555555</v>
      </c>
      <c r="B32" s="5"/>
      <c r="C32" s="6" t="s">
        <v>361</v>
      </c>
      <c r="D32" s="7" t="s">
        <v>362</v>
      </c>
      <c r="E32" s="2" t="s">
        <v>363</v>
      </c>
    </row>
    <row r="33" spans="1:5" ht="48" customHeight="1">
      <c r="A33" s="14">
        <v>43307.822916666664</v>
      </c>
      <c r="B33" s="8">
        <v>28763</v>
      </c>
      <c r="C33" s="6" t="s">
        <v>9</v>
      </c>
      <c r="D33" s="7" t="s">
        <v>10</v>
      </c>
      <c r="E33" s="2" t="s">
        <v>364</v>
      </c>
    </row>
    <row r="34" spans="1:5" ht="48" customHeight="1">
      <c r="A34" s="14">
        <v>43307.84375</v>
      </c>
      <c r="B34" s="8">
        <v>28763</v>
      </c>
      <c r="C34" s="6" t="s">
        <v>9</v>
      </c>
      <c r="D34" s="7" t="s">
        <v>10</v>
      </c>
      <c r="E34" s="2" t="s">
        <v>365</v>
      </c>
    </row>
    <row r="35" spans="1:5" ht="48" customHeight="1">
      <c r="A35" s="14">
        <v>43307.875</v>
      </c>
      <c r="B35" s="8">
        <v>28763</v>
      </c>
      <c r="C35" s="6" t="s">
        <v>9</v>
      </c>
      <c r="D35" s="7" t="s">
        <v>10</v>
      </c>
      <c r="E35" s="2" t="s">
        <v>365</v>
      </c>
    </row>
    <row r="36" spans="1:5" ht="27" customHeight="1">
      <c r="A36" s="14">
        <v>43308</v>
      </c>
      <c r="B36" s="5">
        <v>50050.475885699998</v>
      </c>
      <c r="C36" s="6" t="s">
        <v>12</v>
      </c>
      <c r="D36" s="7" t="s">
        <v>343</v>
      </c>
      <c r="E36" s="2"/>
    </row>
    <row r="37" spans="1:5" ht="76" customHeight="1">
      <c r="A37" s="9">
        <v>43308</v>
      </c>
      <c r="B37" s="5"/>
      <c r="C37" s="6" t="s">
        <v>366</v>
      </c>
      <c r="D37" s="7" t="s">
        <v>113</v>
      </c>
      <c r="E37" s="2" t="s">
        <v>367</v>
      </c>
    </row>
    <row r="38" spans="1:5" ht="48" customHeight="1">
      <c r="A38" s="14">
        <v>43308.333333333336</v>
      </c>
      <c r="B38" s="8">
        <v>44450</v>
      </c>
      <c r="C38" s="6" t="s">
        <v>9</v>
      </c>
      <c r="D38" s="7" t="s">
        <v>10</v>
      </c>
      <c r="E38" s="2" t="s">
        <v>368</v>
      </c>
    </row>
    <row r="39" spans="1:5" ht="27" customHeight="1">
      <c r="A39" s="14">
        <v>43308.65625</v>
      </c>
      <c r="B39" s="5">
        <v>68431.585768499994</v>
      </c>
      <c r="C39" s="6" t="s">
        <v>12</v>
      </c>
      <c r="D39" s="7" t="s">
        <v>343</v>
      </c>
      <c r="E39" s="2"/>
    </row>
    <row r="40" spans="1:5" ht="27" customHeight="1">
      <c r="A40" s="14">
        <v>43308.822916666664</v>
      </c>
      <c r="B40" s="5">
        <v>80968.370675400001</v>
      </c>
      <c r="C40" s="6" t="s">
        <v>12</v>
      </c>
      <c r="D40" s="7" t="s">
        <v>343</v>
      </c>
      <c r="E40" s="2"/>
    </row>
    <row r="41" spans="1:5" ht="48" customHeight="1">
      <c r="A41" s="14">
        <v>43308.833333333336</v>
      </c>
      <c r="B41" s="8">
        <v>48312</v>
      </c>
      <c r="C41" s="6" t="s">
        <v>9</v>
      </c>
      <c r="D41" s="7" t="s">
        <v>10</v>
      </c>
      <c r="E41" s="2" t="s">
        <v>369</v>
      </c>
    </row>
    <row r="42" spans="1:5" ht="48" customHeight="1">
      <c r="A42" s="14">
        <v>43309.3125</v>
      </c>
      <c r="B42" s="8">
        <v>80906</v>
      </c>
      <c r="C42" s="6" t="s">
        <v>9</v>
      </c>
      <c r="D42" s="7" t="s">
        <v>10</v>
      </c>
      <c r="E42" s="2" t="s">
        <v>370</v>
      </c>
    </row>
    <row r="43" spans="1:5" ht="48" customHeight="1">
      <c r="A43" s="14">
        <v>43309.364583333336</v>
      </c>
      <c r="B43" s="8">
        <v>80906</v>
      </c>
      <c r="C43" s="6" t="s">
        <v>9</v>
      </c>
      <c r="D43" s="7" t="s">
        <v>10</v>
      </c>
      <c r="E43" s="2" t="s">
        <v>370</v>
      </c>
    </row>
    <row r="44" spans="1:5" ht="27" customHeight="1">
      <c r="A44" s="14">
        <v>43309.666666666664</v>
      </c>
      <c r="B44" s="5">
        <v>89194.304478200007</v>
      </c>
      <c r="C44" s="6" t="s">
        <v>12</v>
      </c>
      <c r="D44" s="7" t="s">
        <v>343</v>
      </c>
      <c r="E44" s="2"/>
    </row>
    <row r="45" spans="1:5" ht="27" customHeight="1">
      <c r="A45" s="14">
        <v>43309.681250000001</v>
      </c>
      <c r="B45" s="5">
        <v>95441.710374000002</v>
      </c>
      <c r="C45" s="6" t="s">
        <v>12</v>
      </c>
      <c r="D45" s="7" t="s">
        <v>17</v>
      </c>
      <c r="E45" s="2"/>
    </row>
    <row r="46" spans="1:5" ht="48" customHeight="1">
      <c r="A46" s="14">
        <v>43309.833333333336</v>
      </c>
      <c r="B46" s="8">
        <v>83800</v>
      </c>
      <c r="C46" s="6" t="s">
        <v>9</v>
      </c>
      <c r="D46" s="7" t="s">
        <v>10</v>
      </c>
      <c r="E46" s="2" t="s">
        <v>371</v>
      </c>
    </row>
    <row r="47" spans="1:5" ht="48" customHeight="1">
      <c r="A47" s="14">
        <v>43310.333333333336</v>
      </c>
      <c r="B47" s="8">
        <v>89194</v>
      </c>
      <c r="C47" s="6" t="s">
        <v>9</v>
      </c>
      <c r="D47" s="7" t="s">
        <v>10</v>
      </c>
      <c r="E47" s="2" t="s">
        <v>372</v>
      </c>
    </row>
    <row r="48" spans="1:5" ht="27" customHeight="1">
      <c r="A48" s="14">
        <v>43310.659722222219</v>
      </c>
      <c r="B48" s="5">
        <v>97239.105001699994</v>
      </c>
      <c r="C48" s="6" t="s">
        <v>12</v>
      </c>
      <c r="D48" s="7" t="s">
        <v>21</v>
      </c>
      <c r="E48" s="2"/>
    </row>
    <row r="49" spans="1:5" ht="27" customHeight="1">
      <c r="A49" s="14">
        <v>43310.706944444442</v>
      </c>
      <c r="B49" s="5">
        <v>103851.528403</v>
      </c>
      <c r="C49" s="6" t="s">
        <v>12</v>
      </c>
      <c r="D49" s="7" t="s">
        <v>343</v>
      </c>
      <c r="E49" s="2"/>
    </row>
    <row r="50" spans="1:5" ht="48" customHeight="1">
      <c r="A50" s="14">
        <v>43310.833333333336</v>
      </c>
      <c r="B50" s="8">
        <v>95368</v>
      </c>
      <c r="C50" s="6" t="s">
        <v>9</v>
      </c>
      <c r="D50" s="7" t="s">
        <v>10</v>
      </c>
      <c r="E50" s="2" t="s">
        <v>373</v>
      </c>
    </row>
    <row r="51" spans="1:5" ht="48" customHeight="1">
      <c r="A51" s="14">
        <v>43311.333333333336</v>
      </c>
      <c r="B51" s="8">
        <v>98724</v>
      </c>
      <c r="C51" s="6" t="s">
        <v>9</v>
      </c>
      <c r="D51" s="7" t="s">
        <v>10</v>
      </c>
      <c r="E51" s="2" t="s">
        <v>374</v>
      </c>
    </row>
    <row r="52" spans="1:5" ht="27" customHeight="1">
      <c r="A52" s="14">
        <v>43311.607638888891</v>
      </c>
      <c r="B52" s="5">
        <v>112975.24861900001</v>
      </c>
      <c r="C52" s="6" t="s">
        <v>12</v>
      </c>
      <c r="D52" s="7" t="s">
        <v>343</v>
      </c>
      <c r="E52" s="2"/>
    </row>
    <row r="53" spans="1:5" ht="48" customHeight="1">
      <c r="A53" s="14">
        <v>43311.833333333336</v>
      </c>
      <c r="B53" s="8">
        <v>103772</v>
      </c>
      <c r="C53" s="6" t="s">
        <v>9</v>
      </c>
      <c r="D53" s="7" t="s">
        <v>10</v>
      </c>
      <c r="E53" s="2" t="s">
        <v>375</v>
      </c>
    </row>
    <row r="54" spans="1:5" ht="27" customHeight="1">
      <c r="A54" s="14">
        <v>43311.927777777775</v>
      </c>
      <c r="B54" s="5">
        <v>114148.519713</v>
      </c>
      <c r="C54" s="6" t="s">
        <v>12</v>
      </c>
      <c r="D54" s="7" t="s">
        <v>343</v>
      </c>
      <c r="E54" s="2"/>
    </row>
    <row r="55" spans="1:5" ht="48" customHeight="1">
      <c r="A55" s="14">
        <v>43312.322916666664</v>
      </c>
      <c r="B55" s="8">
        <v>110154</v>
      </c>
      <c r="C55" s="6" t="s">
        <v>9</v>
      </c>
      <c r="D55" s="7" t="s">
        <v>10</v>
      </c>
      <c r="E55" s="2" t="s">
        <v>376</v>
      </c>
    </row>
    <row r="56" spans="1:5" ht="27" customHeight="1">
      <c r="A56" s="14">
        <v>43312.652777777781</v>
      </c>
      <c r="B56" s="5">
        <v>115532.79653399999</v>
      </c>
      <c r="C56" s="6" t="s">
        <v>12</v>
      </c>
      <c r="D56" s="7" t="s">
        <v>343</v>
      </c>
      <c r="E56" s="2"/>
    </row>
    <row r="57" spans="1:5" ht="27" customHeight="1">
      <c r="A57" s="14">
        <v>43312.71875</v>
      </c>
      <c r="B57" s="5">
        <v>121180.885538</v>
      </c>
      <c r="C57" s="6" t="s">
        <v>12</v>
      </c>
      <c r="D57" s="7" t="s">
        <v>343</v>
      </c>
      <c r="E57" s="2"/>
    </row>
    <row r="58" spans="1:5" ht="48" customHeight="1">
      <c r="A58" s="14">
        <v>43312.833333333336</v>
      </c>
      <c r="B58" s="8">
        <v>112888</v>
      </c>
      <c r="C58" s="6" t="s">
        <v>9</v>
      </c>
      <c r="D58" s="7" t="s">
        <v>10</v>
      </c>
      <c r="E58" s="2" t="s">
        <v>377</v>
      </c>
    </row>
    <row r="59" spans="1:5" ht="48" customHeight="1">
      <c r="A59" s="14">
        <v>43313.333333333336</v>
      </c>
      <c r="B59" s="8">
        <v>115538</v>
      </c>
      <c r="C59" s="6" t="s">
        <v>9</v>
      </c>
      <c r="D59" s="7" t="s">
        <v>10</v>
      </c>
      <c r="E59" s="2" t="s">
        <v>378</v>
      </c>
    </row>
    <row r="60" spans="1:5" ht="27" customHeight="1">
      <c r="A60" s="14">
        <v>43313.65625</v>
      </c>
      <c r="B60" s="5">
        <v>126872.166369</v>
      </c>
      <c r="C60" s="6" t="s">
        <v>12</v>
      </c>
      <c r="D60" s="7" t="s">
        <v>343</v>
      </c>
      <c r="E60" s="2"/>
    </row>
    <row r="61" spans="1:5" ht="27" customHeight="1">
      <c r="A61" s="14">
        <v>43313.674305555556</v>
      </c>
      <c r="B61" s="5">
        <v>125939.29691999999</v>
      </c>
      <c r="C61" s="6" t="s">
        <v>12</v>
      </c>
      <c r="D61" s="7" t="s">
        <v>343</v>
      </c>
      <c r="E61" s="2"/>
    </row>
    <row r="62" spans="1:5" ht="48" customHeight="1">
      <c r="A62" s="14">
        <v>43313.833333333336</v>
      </c>
      <c r="B62" s="8">
        <v>121049</v>
      </c>
      <c r="C62" s="6" t="s">
        <v>9</v>
      </c>
      <c r="D62" s="7" t="s">
        <v>10</v>
      </c>
      <c r="E62" s="2" t="s">
        <v>379</v>
      </c>
    </row>
    <row r="63" spans="1:5" ht="48" customHeight="1">
      <c r="A63" s="14">
        <v>43314.322916666664</v>
      </c>
      <c r="B63" s="8">
        <v>125842</v>
      </c>
      <c r="C63" s="6" t="s">
        <v>9</v>
      </c>
      <c r="D63" s="7" t="s">
        <v>10</v>
      </c>
      <c r="E63" s="2" t="s">
        <v>380</v>
      </c>
    </row>
    <row r="64" spans="1:5" ht="27" customHeight="1">
      <c r="A64" s="14">
        <v>43314.572916666664</v>
      </c>
      <c r="B64" s="5">
        <v>133881.910955</v>
      </c>
      <c r="C64" s="6" t="s">
        <v>12</v>
      </c>
      <c r="D64" s="7" t="s">
        <v>343</v>
      </c>
      <c r="E64" s="2"/>
    </row>
    <row r="65" spans="1:5" ht="27" customHeight="1">
      <c r="A65" s="14">
        <v>43314.695138888892</v>
      </c>
      <c r="B65" s="5">
        <v>131997.22227</v>
      </c>
      <c r="C65" s="6" t="s">
        <v>12</v>
      </c>
      <c r="D65" s="7" t="s">
        <v>343</v>
      </c>
      <c r="E65" s="2"/>
    </row>
    <row r="66" spans="1:5" ht="48" customHeight="1">
      <c r="A66" s="14">
        <v>43314.833333333336</v>
      </c>
      <c r="B66" s="8">
        <v>126913</v>
      </c>
      <c r="C66" s="6" t="s">
        <v>9</v>
      </c>
      <c r="D66" s="7" t="s">
        <v>10</v>
      </c>
      <c r="E66" s="2" t="s">
        <v>381</v>
      </c>
    </row>
    <row r="67" spans="1:5" ht="48" customHeight="1">
      <c r="A67" s="14">
        <v>43315.333333333336</v>
      </c>
      <c r="B67" s="8">
        <v>131896</v>
      </c>
      <c r="C67" s="6" t="s">
        <v>9</v>
      </c>
      <c r="D67" s="7" t="s">
        <v>10</v>
      </c>
      <c r="E67" s="2" t="s">
        <v>382</v>
      </c>
    </row>
    <row r="68" spans="1:5" ht="27" customHeight="1">
      <c r="A68" s="14">
        <v>43315.625</v>
      </c>
      <c r="B68" s="5">
        <v>146922.89121999999</v>
      </c>
      <c r="C68" s="6" t="s">
        <v>12</v>
      </c>
      <c r="D68" s="7" t="s">
        <v>343</v>
      </c>
      <c r="E68" s="2"/>
    </row>
    <row r="69" spans="1:5" ht="27" customHeight="1">
      <c r="A69" s="14">
        <v>43315.636805555558</v>
      </c>
      <c r="B69" s="5">
        <v>145127.20814999999</v>
      </c>
      <c r="C69" s="6" t="s">
        <v>12</v>
      </c>
      <c r="D69" s="7" t="s">
        <v>343</v>
      </c>
      <c r="E69" s="2"/>
    </row>
    <row r="70" spans="1:5" ht="48" customHeight="1">
      <c r="A70" s="14">
        <v>43315.833333333336</v>
      </c>
      <c r="B70" s="8">
        <v>133924</v>
      </c>
      <c r="C70" s="6" t="s">
        <v>9</v>
      </c>
      <c r="D70" s="7" t="s">
        <v>10</v>
      </c>
      <c r="E70" s="2" t="s">
        <v>383</v>
      </c>
    </row>
    <row r="71" spans="1:5" ht="48" customHeight="1">
      <c r="A71" s="14">
        <v>43316.3125</v>
      </c>
      <c r="B71" s="8">
        <v>141825</v>
      </c>
      <c r="C71" s="6" t="s">
        <v>9</v>
      </c>
      <c r="D71" s="7" t="s">
        <v>10</v>
      </c>
      <c r="E71" s="2" t="s">
        <v>384</v>
      </c>
    </row>
    <row r="72" spans="1:5" ht="27" customHeight="1">
      <c r="A72" s="14">
        <v>43316.645833333336</v>
      </c>
      <c r="B72" s="5">
        <v>149294.27187999999</v>
      </c>
      <c r="C72" s="6" t="s">
        <v>12</v>
      </c>
      <c r="D72" s="7" t="s">
        <v>343</v>
      </c>
      <c r="E72" s="2"/>
    </row>
    <row r="73" spans="1:5" ht="27" customHeight="1">
      <c r="A73" s="14">
        <v>43316.706944444442</v>
      </c>
      <c r="B73" s="5">
        <v>160172.34506699999</v>
      </c>
      <c r="C73" s="6" t="s">
        <v>12</v>
      </c>
      <c r="D73" s="7" t="s">
        <v>343</v>
      </c>
      <c r="E73" s="2"/>
    </row>
    <row r="74" spans="1:5" ht="48" customHeight="1">
      <c r="A74" s="14">
        <v>43316.833333333336</v>
      </c>
      <c r="B74" s="8">
        <v>145015</v>
      </c>
      <c r="C74" s="6" t="s">
        <v>9</v>
      </c>
      <c r="D74" s="7" t="s">
        <v>10</v>
      </c>
      <c r="E74" s="2" t="s">
        <v>385</v>
      </c>
    </row>
    <row r="75" spans="1:5" ht="48" customHeight="1">
      <c r="A75" s="14">
        <v>43317.322916666664</v>
      </c>
      <c r="B75" s="8">
        <v>154524</v>
      </c>
      <c r="C75" s="6" t="s">
        <v>9</v>
      </c>
      <c r="D75" s="7" t="s">
        <v>10</v>
      </c>
      <c r="E75" s="2" t="s">
        <v>386</v>
      </c>
    </row>
    <row r="76" spans="1:5" ht="27" customHeight="1">
      <c r="A76" s="14">
        <v>43317.59097222222</v>
      </c>
      <c r="B76" s="5">
        <v>164540.85589800001</v>
      </c>
      <c r="C76" s="6" t="s">
        <v>12</v>
      </c>
      <c r="D76" s="7" t="s">
        <v>343</v>
      </c>
      <c r="E76" s="2"/>
    </row>
    <row r="77" spans="1:5" ht="27" customHeight="1">
      <c r="A77" s="14">
        <v>43317.604166666664</v>
      </c>
      <c r="B77" s="5">
        <v>164116.14778999999</v>
      </c>
      <c r="C77" s="6" t="s">
        <v>12</v>
      </c>
      <c r="D77" s="7" t="s">
        <v>343</v>
      </c>
      <c r="E77" s="2"/>
    </row>
    <row r="78" spans="1:5" ht="48" customHeight="1">
      <c r="A78" s="14">
        <v>43317.833333333336</v>
      </c>
      <c r="B78" s="8">
        <v>160049</v>
      </c>
      <c r="C78" s="6" t="s">
        <v>9</v>
      </c>
      <c r="D78" s="7" t="s">
        <v>10</v>
      </c>
      <c r="E78" s="2" t="s">
        <v>387</v>
      </c>
    </row>
    <row r="79" spans="1:5" ht="48" customHeight="1">
      <c r="A79" s="14">
        <v>43318.322916666664</v>
      </c>
      <c r="B79" s="8">
        <v>163207</v>
      </c>
      <c r="C79" s="6" t="s">
        <v>9</v>
      </c>
      <c r="D79" s="7" t="s">
        <v>10</v>
      </c>
      <c r="E79" s="2" t="s">
        <v>388</v>
      </c>
    </row>
    <row r="80" spans="1:5" ht="27" customHeight="1">
      <c r="A80" s="14">
        <v>43318.625</v>
      </c>
      <c r="B80" s="5">
        <v>167530.461951</v>
      </c>
      <c r="C80" s="6" t="s">
        <v>12</v>
      </c>
      <c r="D80" s="7" t="s">
        <v>343</v>
      </c>
      <c r="E80" s="2"/>
    </row>
    <row r="81" spans="1:5" ht="27" customHeight="1">
      <c r="A81" s="14">
        <v>43318.73541666667</v>
      </c>
      <c r="B81" s="5">
        <v>172055.15321300001</v>
      </c>
      <c r="C81" s="6" t="s">
        <v>12</v>
      </c>
      <c r="D81" s="7" t="s">
        <v>343</v>
      </c>
      <c r="E81" s="2"/>
    </row>
    <row r="82" spans="1:5" ht="48" customHeight="1">
      <c r="A82" s="14">
        <v>43318.822916666664</v>
      </c>
      <c r="B82" s="8">
        <v>164413</v>
      </c>
      <c r="C82" s="6" t="s">
        <v>9</v>
      </c>
      <c r="D82" s="7" t="s">
        <v>10</v>
      </c>
      <c r="E82" s="2" t="s">
        <v>389</v>
      </c>
    </row>
    <row r="83" spans="1:5" ht="48" customHeight="1">
      <c r="A83" s="14">
        <v>43319.322916666664</v>
      </c>
      <c r="B83" s="8">
        <v>167113</v>
      </c>
      <c r="C83" s="6" t="s">
        <v>9</v>
      </c>
      <c r="D83" s="7" t="s">
        <v>10</v>
      </c>
      <c r="E83" s="2" t="s">
        <v>390</v>
      </c>
    </row>
    <row r="84" spans="1:5" ht="27" customHeight="1">
      <c r="A84" s="14">
        <v>43319.541666666664</v>
      </c>
      <c r="B84" s="5">
        <v>172326.13271400001</v>
      </c>
      <c r="C84" s="6" t="s">
        <v>12</v>
      </c>
      <c r="D84" s="7" t="s">
        <v>343</v>
      </c>
      <c r="E84" s="2"/>
    </row>
    <row r="85" spans="1:5" ht="27" customHeight="1">
      <c r="A85" s="14">
        <v>43319.707638888889</v>
      </c>
      <c r="B85" s="5">
        <v>176069.63412999999</v>
      </c>
      <c r="C85" s="6" t="s">
        <v>12</v>
      </c>
      <c r="D85" s="7" t="s">
        <v>343</v>
      </c>
      <c r="E85" s="2"/>
    </row>
    <row r="86" spans="1:5" ht="48" customHeight="1">
      <c r="A86" s="14">
        <v>43319.822916666664</v>
      </c>
      <c r="B86" s="8">
        <v>172055</v>
      </c>
      <c r="C86" s="6" t="s">
        <v>9</v>
      </c>
      <c r="D86" s="7" t="s">
        <v>10</v>
      </c>
      <c r="E86" s="2" t="s">
        <v>391</v>
      </c>
    </row>
    <row r="87" spans="1:5" ht="48" customHeight="1">
      <c r="A87" s="14">
        <v>43320.333333333336</v>
      </c>
      <c r="B87" s="8">
        <v>173522</v>
      </c>
      <c r="C87" s="6" t="s">
        <v>9</v>
      </c>
      <c r="D87" s="7" t="s">
        <v>10</v>
      </c>
      <c r="E87" s="2" t="s">
        <v>392</v>
      </c>
    </row>
    <row r="88" spans="1:5" ht="27" customHeight="1">
      <c r="A88" s="14">
        <v>43320.65625</v>
      </c>
      <c r="B88" s="5">
        <v>177450.198309</v>
      </c>
      <c r="C88" s="6" t="s">
        <v>12</v>
      </c>
      <c r="D88" s="7" t="s">
        <v>343</v>
      </c>
      <c r="E88" s="2"/>
    </row>
    <row r="89" spans="1:5" ht="27" customHeight="1">
      <c r="A89" s="14">
        <v>43320.699305555558</v>
      </c>
      <c r="B89" s="5">
        <v>178752.44219</v>
      </c>
      <c r="C89" s="6" t="s">
        <v>12</v>
      </c>
      <c r="D89" s="7" t="s">
        <v>17</v>
      </c>
      <c r="E89" s="2"/>
    </row>
    <row r="90" spans="1:5" ht="48" customHeight="1">
      <c r="A90" s="14">
        <v>43320.833333333336</v>
      </c>
      <c r="B90" s="8">
        <v>176069</v>
      </c>
      <c r="C90" s="6" t="s">
        <v>9</v>
      </c>
      <c r="D90" s="7" t="s">
        <v>10</v>
      </c>
      <c r="E90" s="2" t="s">
        <v>393</v>
      </c>
    </row>
    <row r="91" spans="1:5" ht="48" customHeight="1">
      <c r="A91" s="14">
        <v>43321.322916666664</v>
      </c>
      <c r="B91" s="8">
        <v>177450</v>
      </c>
      <c r="C91" s="6" t="s">
        <v>9</v>
      </c>
      <c r="D91" s="7" t="s">
        <v>10</v>
      </c>
      <c r="E91" s="2" t="s">
        <v>394</v>
      </c>
    </row>
    <row r="92" spans="1:5" ht="27" customHeight="1">
      <c r="A92" s="14">
        <v>43321.625</v>
      </c>
      <c r="B92" s="5">
        <v>181496.334279</v>
      </c>
      <c r="C92" s="6" t="s">
        <v>12</v>
      </c>
      <c r="D92" s="7" t="s">
        <v>343</v>
      </c>
      <c r="E92" s="2"/>
    </row>
    <row r="93" spans="1:5" ht="27" customHeight="1">
      <c r="A93" s="14">
        <v>43321.718055555553</v>
      </c>
      <c r="B93" s="5">
        <v>183633.12870500001</v>
      </c>
      <c r="C93" s="6" t="s">
        <v>12</v>
      </c>
      <c r="D93" s="7" t="s">
        <v>343</v>
      </c>
      <c r="E93" s="2"/>
    </row>
    <row r="94" spans="1:5" ht="48" customHeight="1">
      <c r="A94" s="14">
        <v>43321.8125</v>
      </c>
      <c r="B94" s="8">
        <v>178752</v>
      </c>
      <c r="C94" s="6" t="s">
        <v>9</v>
      </c>
      <c r="D94" s="7" t="s">
        <v>10</v>
      </c>
      <c r="E94" s="2" t="s">
        <v>395</v>
      </c>
    </row>
    <row r="95" spans="1:5" ht="48" customHeight="1">
      <c r="A95" s="14">
        <v>43322.3125</v>
      </c>
      <c r="B95" s="8">
        <v>181496</v>
      </c>
      <c r="C95" s="6" t="s">
        <v>9</v>
      </c>
      <c r="D95" s="7" t="s">
        <v>10</v>
      </c>
      <c r="E95" s="2" t="s">
        <v>396</v>
      </c>
    </row>
    <row r="96" spans="1:5" ht="27" customHeight="1">
      <c r="A96" s="14">
        <v>43322.5625</v>
      </c>
      <c r="B96" s="5">
        <v>186285.48131199999</v>
      </c>
      <c r="C96" s="6" t="s">
        <v>12</v>
      </c>
      <c r="D96" s="7" t="s">
        <v>343</v>
      </c>
      <c r="E96" s="2"/>
    </row>
    <row r="97" spans="1:5" ht="27" customHeight="1">
      <c r="A97" s="14">
        <v>43322.677777777775</v>
      </c>
      <c r="B97" s="5">
        <v>190873.33853400001</v>
      </c>
      <c r="C97" s="6" t="s">
        <v>12</v>
      </c>
      <c r="D97" s="7" t="s">
        <v>343</v>
      </c>
      <c r="E97" s="2"/>
    </row>
    <row r="98" spans="1:5" ht="48" customHeight="1">
      <c r="A98" s="14">
        <v>43322.8125</v>
      </c>
      <c r="B98" s="8">
        <v>183633</v>
      </c>
      <c r="C98" s="6" t="s">
        <v>9</v>
      </c>
      <c r="D98" s="7" t="s">
        <v>10</v>
      </c>
      <c r="E98" s="2" t="s">
        <v>397</v>
      </c>
    </row>
    <row r="99" spans="1:5" ht="48" customHeight="1">
      <c r="A99" s="14">
        <v>43323.322916666664</v>
      </c>
      <c r="B99" s="8">
        <v>186416</v>
      </c>
      <c r="C99" s="6" t="s">
        <v>9</v>
      </c>
      <c r="D99" s="7" t="s">
        <v>10</v>
      </c>
      <c r="E99" s="2" t="s">
        <v>398</v>
      </c>
    </row>
    <row r="100" spans="1:5" ht="27" customHeight="1">
      <c r="A100" s="14">
        <v>43323.583333333336</v>
      </c>
      <c r="B100" s="5">
        <v>191210.96563399999</v>
      </c>
      <c r="C100" s="6" t="s">
        <v>12</v>
      </c>
      <c r="D100" s="7" t="s">
        <v>343</v>
      </c>
      <c r="E100" s="2"/>
    </row>
    <row r="101" spans="1:5" ht="27" customHeight="1">
      <c r="A101" s="14">
        <v>43323.686111111114</v>
      </c>
      <c r="B101" s="5">
        <v>201680.37461</v>
      </c>
      <c r="C101" s="6" t="s">
        <v>12</v>
      </c>
      <c r="D101" s="7" t="s">
        <v>17</v>
      </c>
      <c r="E101" s="2"/>
    </row>
    <row r="102" spans="1:5" ht="48" customHeight="1">
      <c r="A102" s="14">
        <v>43323.833333333336</v>
      </c>
      <c r="B102" s="8">
        <v>190873</v>
      </c>
      <c r="C102" s="6" t="s">
        <v>9</v>
      </c>
      <c r="D102" s="7" t="s">
        <v>10</v>
      </c>
      <c r="E102" s="2" t="s">
        <v>399</v>
      </c>
    </row>
    <row r="103" spans="1:5" ht="48" customHeight="1">
      <c r="A103" s="14">
        <v>43324.333333333336</v>
      </c>
      <c r="B103" s="8">
        <v>191211</v>
      </c>
      <c r="C103" s="6" t="s">
        <v>9</v>
      </c>
      <c r="D103" s="7" t="s">
        <v>10</v>
      </c>
      <c r="E103" s="2" t="s">
        <v>400</v>
      </c>
    </row>
    <row r="104" spans="1:5" ht="48" customHeight="1">
      <c r="A104" s="14">
        <v>43324.34375</v>
      </c>
      <c r="B104" s="8">
        <v>191211</v>
      </c>
      <c r="C104" s="6" t="s">
        <v>9</v>
      </c>
      <c r="D104" s="7" t="s">
        <v>10</v>
      </c>
      <c r="E104" s="2" t="s">
        <v>400</v>
      </c>
    </row>
    <row r="105" spans="1:5" ht="27" customHeight="1">
      <c r="A105" s="14">
        <v>43324.572916666664</v>
      </c>
      <c r="B105" s="5">
        <v>202975.700576</v>
      </c>
      <c r="C105" s="6" t="s">
        <v>12</v>
      </c>
      <c r="D105" s="7" t="s">
        <v>343</v>
      </c>
      <c r="E105" s="2"/>
    </row>
    <row r="106" spans="1:5" ht="27" customHeight="1">
      <c r="A106" s="14">
        <v>43324.704861111109</v>
      </c>
      <c r="B106" s="5">
        <v>206816.151323</v>
      </c>
      <c r="C106" s="6" t="s">
        <v>12</v>
      </c>
      <c r="D106" s="7" t="s">
        <v>17</v>
      </c>
      <c r="E106" s="2"/>
    </row>
    <row r="107" spans="1:5" ht="48" customHeight="1">
      <c r="A107" s="14">
        <v>43325.333333333336</v>
      </c>
      <c r="B107" s="8">
        <v>202976</v>
      </c>
      <c r="C107" s="6" t="s">
        <v>9</v>
      </c>
      <c r="D107" s="7" t="s">
        <v>10</v>
      </c>
      <c r="E107" s="2" t="s">
        <v>401</v>
      </c>
    </row>
    <row r="108" spans="1:5" ht="27" customHeight="1">
      <c r="A108" s="14">
        <v>43325.541666666664</v>
      </c>
      <c r="B108" s="5">
        <v>207161.71842600001</v>
      </c>
      <c r="C108" s="6" t="s">
        <v>12</v>
      </c>
      <c r="D108" s="7" t="s">
        <v>343</v>
      </c>
      <c r="E108" s="2"/>
    </row>
    <row r="109" spans="1:5" ht="27" customHeight="1">
      <c r="A109" s="14">
        <v>43325.702777777777</v>
      </c>
      <c r="B109" s="5">
        <v>211019.47458499999</v>
      </c>
      <c r="C109" s="6" t="s">
        <v>12</v>
      </c>
      <c r="D109" s="7" t="s">
        <v>343</v>
      </c>
      <c r="E109" s="2"/>
    </row>
    <row r="110" spans="1:5" ht="48" customHeight="1">
      <c r="A110" s="14">
        <v>43325.833333333336</v>
      </c>
      <c r="B110" s="8">
        <v>206816</v>
      </c>
      <c r="C110" s="6" t="s">
        <v>9</v>
      </c>
      <c r="D110" s="7" t="s">
        <v>10</v>
      </c>
      <c r="E110" s="2" t="s">
        <v>402</v>
      </c>
    </row>
    <row r="111" spans="1:5" ht="48" customHeight="1">
      <c r="A111" s="14">
        <v>43326.322916666664</v>
      </c>
      <c r="B111" s="8">
        <v>207162</v>
      </c>
      <c r="C111" s="6" t="s">
        <v>9</v>
      </c>
      <c r="D111" s="7" t="s">
        <v>10</v>
      </c>
      <c r="E111" s="2" t="s">
        <v>403</v>
      </c>
    </row>
    <row r="112" spans="1:5" ht="27" customHeight="1">
      <c r="A112" s="14">
        <v>43326.5625</v>
      </c>
      <c r="B112" s="5">
        <v>211038.09527799999</v>
      </c>
      <c r="C112" s="6" t="s">
        <v>12</v>
      </c>
      <c r="D112" s="7" t="s">
        <v>343</v>
      </c>
      <c r="E112" s="2"/>
    </row>
    <row r="113" spans="1:5" ht="27" customHeight="1">
      <c r="A113" s="14">
        <v>43326.649305555555</v>
      </c>
      <c r="B113" s="5">
        <v>214527.25978600001</v>
      </c>
      <c r="C113" s="6" t="s">
        <v>12</v>
      </c>
      <c r="D113" s="7" t="s">
        <v>17</v>
      </c>
      <c r="E113" s="2"/>
    </row>
    <row r="114" spans="1:5" ht="48" customHeight="1">
      <c r="A114" s="14">
        <v>43326.822916666664</v>
      </c>
      <c r="B114" s="8">
        <v>211019</v>
      </c>
      <c r="C114" s="6" t="s">
        <v>9</v>
      </c>
      <c r="D114" s="7" t="s">
        <v>10</v>
      </c>
      <c r="E114" s="2" t="s">
        <v>404</v>
      </c>
    </row>
    <row r="115" spans="1:5" ht="48" customHeight="1">
      <c r="A115" s="14">
        <v>43327.3125</v>
      </c>
      <c r="B115" s="8">
        <v>211038</v>
      </c>
      <c r="C115" s="6" t="s">
        <v>9</v>
      </c>
      <c r="D115" s="7" t="s">
        <v>10</v>
      </c>
      <c r="E115" s="2" t="s">
        <v>405</v>
      </c>
    </row>
    <row r="116" spans="1:5" ht="48" customHeight="1">
      <c r="A116" s="14">
        <v>43327.333333333336</v>
      </c>
      <c r="B116" s="8">
        <v>211038</v>
      </c>
      <c r="C116" s="6" t="s">
        <v>9</v>
      </c>
      <c r="D116" s="7" t="s">
        <v>10</v>
      </c>
      <c r="E116" s="2" t="s">
        <v>405</v>
      </c>
    </row>
    <row r="117" spans="1:5" ht="27" customHeight="1">
      <c r="A117" s="14">
        <v>43327.583333333336</v>
      </c>
      <c r="B117" s="5">
        <v>214508.52792399999</v>
      </c>
      <c r="C117" s="6" t="s">
        <v>12</v>
      </c>
      <c r="D117" s="7" t="s">
        <v>343</v>
      </c>
      <c r="E117" s="2"/>
    </row>
    <row r="118" spans="1:5" ht="48" customHeight="1">
      <c r="A118" s="14">
        <v>43327.791666666664</v>
      </c>
      <c r="B118" s="8">
        <v>214527</v>
      </c>
      <c r="C118" s="6" t="s">
        <v>9</v>
      </c>
      <c r="D118" s="7" t="s">
        <v>10</v>
      </c>
      <c r="E118" s="2" t="s">
        <v>406</v>
      </c>
    </row>
    <row r="119" spans="1:5" ht="48" customHeight="1">
      <c r="A119" s="14">
        <v>43328.3125</v>
      </c>
      <c r="B119" s="8">
        <v>214527</v>
      </c>
      <c r="C119" s="6" t="s">
        <v>9</v>
      </c>
      <c r="D119" s="7" t="s">
        <v>10</v>
      </c>
      <c r="E119" s="2" t="s">
        <v>407</v>
      </c>
    </row>
    <row r="120" spans="1:5" ht="48" customHeight="1">
      <c r="A120" s="14">
        <v>43328.322916666664</v>
      </c>
      <c r="B120" s="8">
        <v>214527</v>
      </c>
      <c r="C120" s="6" t="s">
        <v>9</v>
      </c>
      <c r="D120" s="7" t="s">
        <v>10</v>
      </c>
      <c r="E120" s="2" t="s">
        <v>407</v>
      </c>
    </row>
    <row r="121" spans="1:5" ht="27" customHeight="1">
      <c r="A121" s="14">
        <v>43328.541666666664</v>
      </c>
      <c r="B121" s="5">
        <v>214527.558058</v>
      </c>
      <c r="C121" s="6" t="s">
        <v>12</v>
      </c>
      <c r="D121" s="7" t="s">
        <v>343</v>
      </c>
      <c r="E121" s="2"/>
    </row>
    <row r="122" spans="1:5" ht="48" customHeight="1">
      <c r="A122" s="14">
        <v>43328.78125</v>
      </c>
      <c r="B122" s="8">
        <v>215368</v>
      </c>
      <c r="C122" s="6" t="s">
        <v>9</v>
      </c>
      <c r="D122" s="7" t="s">
        <v>10</v>
      </c>
      <c r="E122" s="2" t="s">
        <v>408</v>
      </c>
    </row>
    <row r="123" spans="1:5" ht="27" customHeight="1">
      <c r="A123" s="14">
        <v>43328.783333333333</v>
      </c>
      <c r="B123" s="5">
        <v>223609.946608</v>
      </c>
      <c r="C123" s="6" t="s">
        <v>12</v>
      </c>
      <c r="D123" s="7" t="s">
        <v>343</v>
      </c>
      <c r="E123" s="2"/>
    </row>
    <row r="124" spans="1:5" ht="48" customHeight="1">
      <c r="A124" s="14">
        <v>43329.322916666664</v>
      </c>
      <c r="B124" s="8">
        <v>218598</v>
      </c>
      <c r="C124" s="6" t="s">
        <v>9</v>
      </c>
      <c r="D124" s="7" t="s">
        <v>10</v>
      </c>
      <c r="E124" s="2" t="s">
        <v>409</v>
      </c>
    </row>
    <row r="125" spans="1:5" ht="27" customHeight="1">
      <c r="A125" s="14">
        <v>43329.583333333336</v>
      </c>
      <c r="B125" s="5">
        <v>224099.15957799999</v>
      </c>
      <c r="C125" s="6" t="s">
        <v>12</v>
      </c>
      <c r="D125" s="7" t="s">
        <v>343</v>
      </c>
      <c r="E125" s="2"/>
    </row>
    <row r="126" spans="1:5" ht="27" customHeight="1">
      <c r="A126" s="14">
        <v>43329.673611111109</v>
      </c>
      <c r="B126" s="5">
        <v>227084.89741999999</v>
      </c>
      <c r="C126" s="6" t="s">
        <v>12</v>
      </c>
      <c r="D126" s="7" t="s">
        <v>343</v>
      </c>
      <c r="E126" s="2"/>
    </row>
    <row r="127" spans="1:5" ht="48" customHeight="1">
      <c r="A127" s="14">
        <v>43329.791666666664</v>
      </c>
      <c r="B127" s="8">
        <v>223610</v>
      </c>
      <c r="C127" s="6" t="s">
        <v>9</v>
      </c>
      <c r="D127" s="7" t="s">
        <v>10</v>
      </c>
      <c r="E127" s="2" t="s">
        <v>410</v>
      </c>
    </row>
    <row r="128" spans="1:5" ht="48" customHeight="1">
      <c r="A128" s="14">
        <v>43330.3125</v>
      </c>
      <c r="B128" s="8">
        <v>224099</v>
      </c>
      <c r="C128" s="6" t="s">
        <v>9</v>
      </c>
      <c r="D128" s="7" t="s">
        <v>10</v>
      </c>
      <c r="E128" s="2" t="s">
        <v>411</v>
      </c>
    </row>
    <row r="129" spans="1:5" ht="27" customHeight="1">
      <c r="A129" s="14">
        <v>43330.583333333336</v>
      </c>
      <c r="B129" s="5">
        <v>227098.34815500001</v>
      </c>
      <c r="C129" s="6" t="s">
        <v>12</v>
      </c>
      <c r="D129" s="7" t="s">
        <v>343</v>
      </c>
      <c r="E129" s="2"/>
    </row>
    <row r="130" spans="1:5" ht="48" customHeight="1">
      <c r="A130" s="14">
        <v>43330.75</v>
      </c>
      <c r="B130" s="8">
        <v>227085</v>
      </c>
      <c r="C130" s="6" t="s">
        <v>9</v>
      </c>
      <c r="D130" s="7" t="s">
        <v>10</v>
      </c>
      <c r="E130" s="2" t="s">
        <v>412</v>
      </c>
    </row>
    <row r="131" spans="1:5" ht="62.05" customHeight="1">
      <c r="A131" s="9">
        <v>43331</v>
      </c>
      <c r="B131" s="5"/>
      <c r="C131" s="6" t="s">
        <v>413</v>
      </c>
      <c r="D131" s="7" t="s">
        <v>414</v>
      </c>
      <c r="E131" s="2" t="s">
        <v>415</v>
      </c>
    </row>
    <row r="132" spans="1:5" ht="48" customHeight="1">
      <c r="A132" s="14">
        <v>43331.3125</v>
      </c>
      <c r="B132" s="8">
        <v>227098</v>
      </c>
      <c r="C132" s="6" t="s">
        <v>9</v>
      </c>
      <c r="D132" s="7" t="s">
        <v>10</v>
      </c>
      <c r="E132" s="2" t="s">
        <v>416</v>
      </c>
    </row>
    <row r="133" spans="1:5" ht="27" customHeight="1">
      <c r="A133" s="14">
        <v>43331.583333333336</v>
      </c>
      <c r="B133" s="5">
        <v>229651.39947999999</v>
      </c>
      <c r="C133" s="6" t="s">
        <v>12</v>
      </c>
      <c r="D133" s="7" t="s">
        <v>343</v>
      </c>
      <c r="E133" s="2"/>
    </row>
    <row r="134" spans="1:5" ht="48" customHeight="1">
      <c r="A134" s="14">
        <v>43331.75</v>
      </c>
      <c r="B134" s="8">
        <v>227098</v>
      </c>
      <c r="C134" s="6" t="s">
        <v>9</v>
      </c>
      <c r="D134" s="7" t="s">
        <v>10</v>
      </c>
      <c r="E134" s="2" t="s">
        <v>417</v>
      </c>
    </row>
    <row r="135" spans="1:5" ht="48" customHeight="1">
      <c r="A135" s="14">
        <v>43332.3125</v>
      </c>
      <c r="B135" s="8">
        <v>229651</v>
      </c>
      <c r="C135" s="6" t="s">
        <v>9</v>
      </c>
      <c r="D135" s="7" t="s">
        <v>10</v>
      </c>
      <c r="E135" s="2" t="s">
        <v>418</v>
      </c>
    </row>
    <row r="136" spans="1:5" ht="27" customHeight="1">
      <c r="A136" s="14">
        <v>43332.6</v>
      </c>
      <c r="B136" s="5">
        <v>229651.39946300001</v>
      </c>
      <c r="C136" s="6" t="s">
        <v>12</v>
      </c>
      <c r="D136" s="7" t="s">
        <v>17</v>
      </c>
      <c r="E136" s="2"/>
    </row>
    <row r="137" spans="1:5" ht="48" customHeight="1">
      <c r="A137" s="14">
        <v>43332.635416666664</v>
      </c>
      <c r="B137" s="8">
        <v>229651</v>
      </c>
      <c r="C137" s="6" t="s">
        <v>9</v>
      </c>
      <c r="D137" s="7" t="s">
        <v>10</v>
      </c>
      <c r="E137" s="2" t="s">
        <v>418</v>
      </c>
    </row>
    <row r="138" spans="1:5" ht="48" customHeight="1">
      <c r="A138" s="14">
        <v>43333.3125</v>
      </c>
      <c r="B138" s="8">
        <v>229651</v>
      </c>
      <c r="C138" s="6" t="s">
        <v>9</v>
      </c>
      <c r="D138" s="7" t="s">
        <v>10</v>
      </c>
      <c r="E138" s="2" t="s">
        <v>419</v>
      </c>
    </row>
    <row r="139" spans="1:5" ht="48" customHeight="1">
      <c r="A139" s="14">
        <v>43333.729166666664</v>
      </c>
      <c r="B139" s="8">
        <v>229651</v>
      </c>
      <c r="C139" s="6" t="s">
        <v>9</v>
      </c>
      <c r="D139" s="7" t="s">
        <v>10</v>
      </c>
      <c r="E139" s="2" t="s">
        <v>420</v>
      </c>
    </row>
    <row r="140" spans="1:5" ht="48" customHeight="1">
      <c r="A140" s="14">
        <v>43334.3125</v>
      </c>
      <c r="B140" s="8">
        <v>229651</v>
      </c>
      <c r="C140" s="6" t="s">
        <v>9</v>
      </c>
      <c r="D140" s="7" t="s">
        <v>10</v>
      </c>
      <c r="E140" s="2" t="s">
        <v>421</v>
      </c>
    </row>
    <row r="141" spans="1:5" ht="27" customHeight="1">
      <c r="A141" s="14">
        <v>43334.579861111109</v>
      </c>
      <c r="B141" s="5">
        <v>229651.399477</v>
      </c>
      <c r="C141" s="6" t="s">
        <v>12</v>
      </c>
      <c r="D141" s="7" t="s">
        <v>17</v>
      </c>
      <c r="E141" s="2"/>
    </row>
    <row r="142" spans="1:5" ht="48" customHeight="1">
      <c r="A142" s="14">
        <v>43334.8125</v>
      </c>
      <c r="B142" s="8">
        <v>229651</v>
      </c>
      <c r="C142" s="6" t="s">
        <v>9</v>
      </c>
      <c r="D142" s="7" t="s">
        <v>10</v>
      </c>
      <c r="E142" s="2" t="s">
        <v>421</v>
      </c>
    </row>
    <row r="143" spans="1:5" ht="48" customHeight="1">
      <c r="A143" s="14">
        <v>43335.28125</v>
      </c>
      <c r="B143" s="8">
        <v>229651</v>
      </c>
      <c r="C143" s="6" t="s">
        <v>9</v>
      </c>
      <c r="D143" s="7" t="s">
        <v>10</v>
      </c>
      <c r="E143" s="2" t="s">
        <v>421</v>
      </c>
    </row>
    <row r="144" spans="1:5" ht="48" customHeight="1">
      <c r="A144" s="14">
        <v>43335.822916666664</v>
      </c>
      <c r="B144" s="8">
        <v>229651</v>
      </c>
      <c r="C144" s="6" t="s">
        <v>9</v>
      </c>
      <c r="D144" s="7" t="s">
        <v>10</v>
      </c>
      <c r="E144" s="2" t="s">
        <v>422</v>
      </c>
    </row>
    <row r="145" spans="1:5" ht="48" customHeight="1">
      <c r="A145" s="14">
        <v>43336.791666666664</v>
      </c>
      <c r="B145" s="8">
        <v>229651</v>
      </c>
      <c r="C145" s="6" t="s">
        <v>9</v>
      </c>
      <c r="D145" s="7" t="s">
        <v>10</v>
      </c>
      <c r="E145" s="2" t="s">
        <v>422</v>
      </c>
    </row>
    <row r="146" spans="1:5" ht="48" customHeight="1">
      <c r="A146" s="14">
        <v>43337.708333333336</v>
      </c>
      <c r="B146" s="8">
        <v>229651</v>
      </c>
      <c r="C146" s="6" t="s">
        <v>9</v>
      </c>
      <c r="D146" s="7" t="s">
        <v>10</v>
      </c>
      <c r="E146" s="2" t="s">
        <v>423</v>
      </c>
    </row>
    <row r="147" spans="1:5" ht="27" customHeight="1">
      <c r="A147" s="14">
        <v>43337.751388888886</v>
      </c>
      <c r="B147" s="5">
        <v>229651.36565200001</v>
      </c>
      <c r="C147" s="6" t="s">
        <v>12</v>
      </c>
      <c r="D147" s="7" t="s">
        <v>17</v>
      </c>
      <c r="E147" s="2"/>
    </row>
    <row r="148" spans="1:5" ht="48" customHeight="1">
      <c r="A148" s="14">
        <v>43338.791666666664</v>
      </c>
      <c r="B148" s="8">
        <v>229651</v>
      </c>
      <c r="C148" s="6" t="s">
        <v>9</v>
      </c>
      <c r="D148" s="7" t="s">
        <v>10</v>
      </c>
      <c r="E148" s="2" t="s">
        <v>424</v>
      </c>
    </row>
    <row r="149" spans="1:5" ht="27" customHeight="1">
      <c r="A149" s="14">
        <v>43339.708333333336</v>
      </c>
      <c r="B149" s="5">
        <v>229651.39947999999</v>
      </c>
      <c r="C149" s="6" t="s">
        <v>12</v>
      </c>
      <c r="D149" s="7" t="s">
        <v>343</v>
      </c>
      <c r="E149" s="2"/>
    </row>
    <row r="150" spans="1:5" ht="48" customHeight="1">
      <c r="A150" s="14">
        <v>43339.791666666664</v>
      </c>
      <c r="B150" s="8">
        <v>229651</v>
      </c>
      <c r="C150" s="6" t="s">
        <v>9</v>
      </c>
      <c r="D150" s="7" t="s">
        <v>10</v>
      </c>
      <c r="E150" s="2" t="s">
        <v>424</v>
      </c>
    </row>
    <row r="151" spans="1:5" ht="48" customHeight="1">
      <c r="A151" s="14">
        <v>43340.791666666664</v>
      </c>
      <c r="B151" s="8">
        <v>229651</v>
      </c>
      <c r="C151" s="6" t="s">
        <v>9</v>
      </c>
      <c r="D151" s="7" t="s">
        <v>10</v>
      </c>
      <c r="E151" s="2" t="s">
        <v>425</v>
      </c>
    </row>
    <row r="152" spans="1:5" ht="27" customHeight="1">
      <c r="A152" s="14">
        <v>43341.166666666664</v>
      </c>
      <c r="B152" s="5">
        <v>229651.39947999999</v>
      </c>
      <c r="C152" s="6" t="s">
        <v>12</v>
      </c>
      <c r="D152" s="7" t="s">
        <v>343</v>
      </c>
      <c r="E152" s="2"/>
    </row>
    <row r="153" spans="1:5" ht="48" customHeight="1">
      <c r="A153" s="14">
        <v>43341.791666666664</v>
      </c>
      <c r="B153" s="8">
        <v>229651</v>
      </c>
      <c r="C153" s="6" t="s">
        <v>9</v>
      </c>
      <c r="D153" s="7" t="s">
        <v>10</v>
      </c>
      <c r="E153" s="2" t="s">
        <v>426</v>
      </c>
    </row>
    <row r="154" spans="1:5" ht="27" customHeight="1">
      <c r="A154" s="14">
        <v>43342.216666666667</v>
      </c>
      <c r="B154" s="5">
        <v>229651.39947999999</v>
      </c>
      <c r="C154" s="6" t="s">
        <v>12</v>
      </c>
      <c r="D154" s="7" t="s">
        <v>343</v>
      </c>
      <c r="E154" s="2"/>
    </row>
    <row r="155" spans="1:5" ht="62.05" customHeight="1">
      <c r="A155" s="14">
        <v>43342.400694444441</v>
      </c>
      <c r="B155" s="8">
        <v>229651</v>
      </c>
      <c r="C155" s="6" t="s">
        <v>333</v>
      </c>
      <c r="D155" s="7" t="s">
        <v>320</v>
      </c>
      <c r="E155" s="2" t="s">
        <v>427</v>
      </c>
    </row>
    <row r="156" spans="1:5" ht="48" customHeight="1">
      <c r="A156" s="14">
        <v>43342.791666666664</v>
      </c>
      <c r="B156" s="8">
        <v>229651</v>
      </c>
      <c r="C156" s="6" t="s">
        <v>9</v>
      </c>
      <c r="D156" s="7" t="s">
        <v>10</v>
      </c>
      <c r="E156" s="2" t="s">
        <v>428</v>
      </c>
    </row>
    <row r="157" spans="1:5" ht="27" customHeight="1">
      <c r="A157" s="14">
        <v>43343.037499999999</v>
      </c>
      <c r="B157" s="5">
        <v>229651.39947999999</v>
      </c>
      <c r="C157" s="6" t="s">
        <v>12</v>
      </c>
      <c r="D157" s="7" t="s">
        <v>343</v>
      </c>
      <c r="E157" s="2"/>
    </row>
    <row r="158" spans="1:5" ht="76" customHeight="1">
      <c r="A158" s="7"/>
      <c r="B158" s="5"/>
      <c r="C158" s="6" t="s">
        <v>429</v>
      </c>
      <c r="D158" s="7" t="s">
        <v>132</v>
      </c>
      <c r="E158" s="2" t="s">
        <v>430</v>
      </c>
    </row>
    <row r="159" spans="1:5" ht="76" customHeight="1">
      <c r="A159" s="7"/>
      <c r="B159" s="5"/>
      <c r="C159" s="6" t="s">
        <v>431</v>
      </c>
      <c r="D159" s="7" t="s">
        <v>432</v>
      </c>
      <c r="E159" s="2" t="s">
        <v>433</v>
      </c>
    </row>
    <row r="160" spans="1:5" ht="76" customHeight="1">
      <c r="A160" s="7"/>
      <c r="B160" s="5"/>
      <c r="C160" s="6" t="s">
        <v>434</v>
      </c>
      <c r="D160" s="7" t="s">
        <v>435</v>
      </c>
      <c r="E160" s="2" t="s">
        <v>436</v>
      </c>
    </row>
  </sheetData>
  <hyperlinks>
    <hyperlink ref="C2" r:id="rId1" tooltip="https://doi.org/10.1109/JSTARS.2020.3019261" xr:uid="{00000000-0004-0000-0200-000000000000}"/>
    <hyperlink ref="C3" r:id="rId2" tooltip="https://www.nps.gov/aboutus/foia/upload/Carr-Incident-Damage-Inspection-Report_508.zip" xr:uid="{00000000-0004-0000-0200-000001000000}"/>
    <hyperlink ref="C4" r:id="rId3" tooltip="https://services3.arcgis.com/T4QMspbfLg3qTGWY/arcgis/rest/services/Historic_Geomac_Perimeters_2018/FeatureServer/0/query?objectIds=3089&amp;outFields=%2A&amp;returnGeometry=false&amp;f=pjson" xr:uid="{00000000-0004-0000-0200-000002000000}"/>
    <hyperlink ref="C5" r:id="rId4" tooltip="https://services3.arcgis.com/T4QMspbfLg3qTGWY/arcgis/rest/services/Historic_Geomac_Perimeters_2018/FeatureServer/0/query?objectIds=933&amp;outFields=%2A&amp;returnGeometry=false&amp;f=pjson" xr:uid="{00000000-0004-0000-0200-000003000000}"/>
    <hyperlink ref="C6" r:id="rId5" tooltip="https://www.nps.gov/aboutus/foia/upload/Carr-Fire-Origin-and-Cause-Report-2-23-21_Redacted-w-cover.zip" xr:uid="{00000000-0004-0000-0200-000004000000}"/>
    <hyperlink ref="C7" r:id="rId6" tooltip="https://www.fire.ca.gov/incidents/2018/7/23/carr-fire" xr:uid="{00000000-0004-0000-0200-000005000000}"/>
    <hyperlink ref="C8" r:id="rId7" tooltip="https://www.nps.gov/aboutus/foia/upload/Carr-Fire-Origin-and-Cause-Report-2-23-21_Redacted-w-cover.zip" xr:uid="{00000000-0004-0000-0200-000006000000}"/>
    <hyperlink ref="C9" r:id="rId8" tooltip="https://doi.org/10.6084/m9.figshare.19858927.v3" xr:uid="{00000000-0004-0000-0200-000007000000}"/>
    <hyperlink ref="C10" r:id="rId9" tooltip="https://doi.org/10.3390/fire5050147" xr:uid="{00000000-0004-0000-0200-000008000000}"/>
    <hyperlink ref="C11" r:id="rId10" tooltip="https://doi.org/10.6084/m9.figshare.19858927.v3" xr:uid="{00000000-0004-0000-0200-000009000000}"/>
    <hyperlink ref="C12" r:id="rId11" tooltip="https://services3.arcgis.com/T4QMspbfLg3qTGWY/arcgis/rest/services/Historic_Geomac_Perimeters_2018/FeatureServer/0/query?objectIds=869&amp;outFields=%2A&amp;returnGeometry=false&amp;f=pjson" xr:uid="{00000000-0004-0000-0200-00000A000000}"/>
    <hyperlink ref="C13" r:id="rId12" tooltip="https://doi.org/10.6084/m9.figshare.19858927.v3" xr:uid="{00000000-0004-0000-0200-00000B000000}"/>
    <hyperlink ref="C14" r:id="rId13" tooltip="https://doi.org/10.6084/m9.figshare.19858927.v3" xr:uid="{00000000-0004-0000-0200-00000C000000}"/>
    <hyperlink ref="C15" r:id="rId14" tooltip="https://doi.org/10.6084/m9.figshare.19858927.v3" xr:uid="{00000000-0004-0000-0200-00000D000000}"/>
    <hyperlink ref="C16" r:id="rId15" tooltip="https://services3.arcgis.com/T4QMspbfLg3qTGWY/arcgis/rest/services/Historic_Geomac_Perimeters_2018/FeatureServer/0/query?objectIds=848&amp;outFields=%2A&amp;returnGeometry=false&amp;f=pjson" xr:uid="{00000000-0004-0000-0200-00000E000000}"/>
    <hyperlink ref="C17" r:id="rId16" tooltip="https://www.nps.gov/whis/carr-fire-timeline.htm" xr:uid="{00000000-0004-0000-0200-00000F000000}"/>
    <hyperlink ref="C18" r:id="rId17" tooltip="https://doi.org/10.6084/m9.figshare.19858927.v3" xr:uid="{00000000-0004-0000-0200-000010000000}"/>
    <hyperlink ref="C19" r:id="rId18" tooltip="https://doi.org/10.6084/m9.figshare.19858927.v3" xr:uid="{00000000-0004-0000-0200-000011000000}"/>
    <hyperlink ref="C20" r:id="rId19" tooltip="https://services3.arcgis.com/T4QMspbfLg3qTGWY/arcgis/rest/services/Historic_Geomac_Perimeters_2018/FeatureServer/0/query?objectIds=4522&amp;outFields=%2A&amp;returnGeometry=false&amp;f=pjson" xr:uid="{00000000-0004-0000-0200-000012000000}"/>
    <hyperlink ref="C21" r:id="rId20" tooltip="https://doi.org/10.6084/m9.figshare.19858927.v3" xr:uid="{00000000-0004-0000-0200-000013000000}"/>
    <hyperlink ref="C22" r:id="rId21" tooltip="https://services3.arcgis.com/T4QMspbfLg3qTGWY/arcgis/rest/services/Historic_Geomac_Perimeters_2018/FeatureServer/0/query?objectIds=3191&amp;outFields=%2A&amp;returnGeometry=false&amp;f=pjson" xr:uid="{00000000-0004-0000-0200-000014000000}"/>
    <hyperlink ref="C23" r:id="rId22" tooltip="https://services3.arcgis.com/T4QMspbfLg3qTGWY/arcgis/rest/services/Historic_Geomac_Perimeters_2018/FeatureServer/0/query?objectIds=802&amp;outFields=%2A&amp;returnGeometry=false&amp;f=pjson" xr:uid="{00000000-0004-0000-0200-000015000000}"/>
    <hyperlink ref="C24" r:id="rId23" tooltip="https://doi.org/10.6084/m9.figshare.19858927.v3" xr:uid="{00000000-0004-0000-0200-000016000000}"/>
    <hyperlink ref="C25" r:id="rId24" tooltip="https://services3.arcgis.com/T4QMspbfLg3qTGWY/arcgis/rest/services/Historic_Geomac_Perimeters_2018/FeatureServer/0/query?objectIds=801&amp;outFields=%2A&amp;returnGeometry=false&amp;f=pjson" xr:uid="{00000000-0004-0000-0200-000017000000}"/>
    <hyperlink ref="C26" r:id="rId25" tooltip="https://www.nps.gov/whis/carr-fire-timeline.htm" xr:uid="{00000000-0004-0000-0200-000018000000}"/>
    <hyperlink ref="C27" r:id="rId26" tooltip="https://doi.org/10.6084/m9.figshare.19858927.v3" xr:uid="{00000000-0004-0000-0200-000019000000}"/>
    <hyperlink ref="C28" r:id="rId27" tooltip="https://services3.arcgis.com/T4QMspbfLg3qTGWY/arcgis/rest/services/Historic_Geomac_Perimeters_2018/FeatureServer/0/query?objectIds=4582&amp;outFields=%2A&amp;returnGeometry=false&amp;f=pjson" xr:uid="{00000000-0004-0000-0200-00001A000000}"/>
    <hyperlink ref="C29" r:id="rId28" tooltip="https://lessons.wildfire.gov/incident/carr-fire-entrapment-fatalities-2018" xr:uid="{00000000-0004-0000-0200-00001B000000}"/>
    <hyperlink ref="C30" r:id="rId29" tooltip="https://services3.arcgis.com/T4QMspbfLg3qTGWY/arcgis/rest/services/Historic_Geomac_Perimeters_2018/FeatureServer/0/query?objectIds=2595&amp;outFields=%2A&amp;returnGeometry=false&amp;f=pjson" xr:uid="{00000000-0004-0000-0200-00001C000000}"/>
    <hyperlink ref="C31" r:id="rId30" tooltip="https://lessons.wildfire.gov/incident/carr-fire-entrapment-fatalities-2018" xr:uid="{00000000-0004-0000-0200-00001D000000}"/>
    <hyperlink ref="C32" r:id="rId31" tooltip="https://doi.org/10.1029/2018GL080667" xr:uid="{00000000-0004-0000-0200-00001E000000}"/>
    <hyperlink ref="C33" r:id="rId32" tooltip="https://doi.org/10.6084/m9.figshare.19858927.v3" xr:uid="{00000000-0004-0000-0200-00001F000000}"/>
    <hyperlink ref="C34" r:id="rId33" tooltip="https://doi.org/10.6084/m9.figshare.19858927.v3" xr:uid="{00000000-0004-0000-0200-000020000000}"/>
    <hyperlink ref="C35" r:id="rId34" tooltip="https://doi.org/10.6084/m9.figshare.19858927.v3" xr:uid="{00000000-0004-0000-0200-000021000000}"/>
    <hyperlink ref="C36" r:id="rId35" tooltip="https://services3.arcgis.com/T4QMspbfLg3qTGWY/arcgis/rest/services/Historic_Geomac_Perimeters_2018/FeatureServer/0/query?objectIds=635&amp;outFields=%2A&amp;returnGeometry=false&amp;f=pjson" xr:uid="{00000000-0004-0000-0200-000022000000}"/>
    <hyperlink ref="C37" r:id="rId36" tooltip="https://www.nps.gov/whis/carr-fire-timeline.htm" xr:uid="{00000000-0004-0000-0200-000023000000}"/>
    <hyperlink ref="C38" r:id="rId37" tooltip="https://doi.org/10.6084/m9.figshare.19858927.v3" xr:uid="{00000000-0004-0000-0200-000024000000}"/>
    <hyperlink ref="C39" r:id="rId38" tooltip="https://services3.arcgis.com/T4QMspbfLg3qTGWY/arcgis/rest/services/Historic_Geomac_Perimeters_2018/FeatureServer/0/query?objectIds=4563&amp;outFields=%2A&amp;returnGeometry=false&amp;f=pjson" xr:uid="{00000000-0004-0000-0200-000025000000}"/>
    <hyperlink ref="C40" r:id="rId39" tooltip="https://services3.arcgis.com/T4QMspbfLg3qTGWY/arcgis/rest/services/Historic_Geomac_Perimeters_2018/FeatureServer/0/query?objectIds=2513&amp;outFields=%2A&amp;returnGeometry=false&amp;f=pjson" xr:uid="{00000000-0004-0000-0200-000026000000}"/>
    <hyperlink ref="C41" r:id="rId40" tooltip="https://doi.org/10.6084/m9.figshare.19858927.v3" xr:uid="{00000000-0004-0000-0200-000027000000}"/>
    <hyperlink ref="C42" r:id="rId41" tooltip="https://doi.org/10.6084/m9.figshare.19858927.v3" xr:uid="{00000000-0004-0000-0200-000028000000}"/>
    <hyperlink ref="C43" r:id="rId42" tooltip="https://doi.org/10.6084/m9.figshare.19858927.v3" xr:uid="{00000000-0004-0000-0200-000029000000}"/>
    <hyperlink ref="C44" r:id="rId43" tooltip="https://services3.arcgis.com/T4QMspbfLg3qTGWY/arcgis/rest/services/Historic_Geomac_Perimeters_2018/FeatureServer/0/query?objectIds=2518&amp;outFields=%2A&amp;returnGeometry=false&amp;f=pjson" xr:uid="{00000000-0004-0000-0200-00002A000000}"/>
    <hyperlink ref="C45" r:id="rId44" tooltip="https://services3.arcgis.com/T4QMspbfLg3qTGWY/arcgis/rest/services/Historic_Geomac_Perimeters_2018/FeatureServer/0/query?objectIds=2537&amp;outFields=%2A&amp;returnGeometry=false&amp;f=pjson" xr:uid="{00000000-0004-0000-0200-00002B000000}"/>
    <hyperlink ref="C46" r:id="rId45" tooltip="https://doi.org/10.6084/m9.figshare.19858927.v3" xr:uid="{00000000-0004-0000-0200-00002C000000}"/>
    <hyperlink ref="C47" r:id="rId46" tooltip="https://doi.org/10.6084/m9.figshare.19858927.v3" xr:uid="{00000000-0004-0000-0200-00002D000000}"/>
    <hyperlink ref="C48" r:id="rId47" tooltip="https://services3.arcgis.com/T4QMspbfLg3qTGWY/arcgis/rest/services/Historic_Geomac_Perimeters_2018/FeatureServer/0/query?objectIds=3142&amp;outFields=%2A&amp;returnGeometry=false&amp;f=pjson" xr:uid="{00000000-0004-0000-0200-00002E000000}"/>
    <hyperlink ref="C49" r:id="rId48" tooltip="https://services3.arcgis.com/T4QMspbfLg3qTGWY/arcgis/rest/services/Historic_Geomac_Perimeters_2018/FeatureServer/0/query?objectIds=3174&amp;outFields=%2A&amp;returnGeometry=false&amp;f=pjson" xr:uid="{00000000-0004-0000-0200-00002F000000}"/>
    <hyperlink ref="C50" r:id="rId49" tooltip="https://doi.org/10.6084/m9.figshare.19858927.v3" xr:uid="{00000000-0004-0000-0200-000030000000}"/>
    <hyperlink ref="C51" r:id="rId50" tooltip="https://doi.org/10.6084/m9.figshare.19858927.v3" xr:uid="{00000000-0004-0000-0200-000031000000}"/>
    <hyperlink ref="C52" r:id="rId51" tooltip="https://services3.arcgis.com/T4QMspbfLg3qTGWY/arcgis/rest/services/Historic_Geomac_Perimeters_2018/FeatureServer/0/query?objectIds=555&amp;outFields=%2A&amp;returnGeometry=false&amp;f=pjson" xr:uid="{00000000-0004-0000-0200-000032000000}"/>
    <hyperlink ref="C53" r:id="rId52" tooltip="https://doi.org/10.6084/m9.figshare.19858927.v3" xr:uid="{00000000-0004-0000-0200-000033000000}"/>
    <hyperlink ref="C54" r:id="rId53" tooltip="https://services3.arcgis.com/T4QMspbfLg3qTGWY/arcgis/rest/services/Historic_Geomac_Perimeters_2018/FeatureServer/0/query?objectIds=3517&amp;outFields=%2A&amp;returnGeometry=false&amp;f=pjson" xr:uid="{00000000-0004-0000-0200-000034000000}"/>
    <hyperlink ref="C55" r:id="rId54" tooltip="https://doi.org/10.6084/m9.figshare.19858927.v3" xr:uid="{00000000-0004-0000-0200-000035000000}"/>
    <hyperlink ref="C56" r:id="rId55" tooltip="https://services3.arcgis.com/T4QMspbfLg3qTGWY/arcgis/rest/services/Historic_Geomac_Perimeters_2018/FeatureServer/0/query?objectIds=3528&amp;outFields=%2A&amp;returnGeometry=false&amp;f=pjson" xr:uid="{00000000-0004-0000-0200-000036000000}"/>
    <hyperlink ref="C57" r:id="rId56" tooltip="https://services3.arcgis.com/T4QMspbfLg3qTGWY/arcgis/rest/services/Historic_Geomac_Perimeters_2018/FeatureServer/0/query?objectIds=21&amp;outFields=%2A&amp;returnGeometry=false&amp;f=pjson" xr:uid="{00000000-0004-0000-0200-000037000000}"/>
    <hyperlink ref="C58" r:id="rId57" tooltip="https://doi.org/10.6084/m9.figshare.19858927.v3" xr:uid="{00000000-0004-0000-0200-000038000000}"/>
    <hyperlink ref="C59" r:id="rId58" tooltip="https://doi.org/10.6084/m9.figshare.19858927.v3" xr:uid="{00000000-0004-0000-0200-000039000000}"/>
    <hyperlink ref="C60" r:id="rId59" tooltip="https://services3.arcgis.com/T4QMspbfLg3qTGWY/arcgis/rest/services/Historic_Geomac_Perimeters_2018/FeatureServer/0/query?objectIds=515&amp;outFields=%2A&amp;returnGeometry=false&amp;f=pjson" xr:uid="{00000000-0004-0000-0200-00003A000000}"/>
    <hyperlink ref="C61" r:id="rId60" tooltip="https://services3.arcgis.com/T4QMspbfLg3qTGWY/arcgis/rest/services/Historic_Geomac_Perimeters_2018/FeatureServer/0/query?objectIds=524&amp;outFields=%2A&amp;returnGeometry=false&amp;f=pjson" xr:uid="{00000000-0004-0000-0200-00003B000000}"/>
    <hyperlink ref="C62" r:id="rId61" tooltip="https://doi.org/10.6084/m9.figshare.19858927.v3" xr:uid="{00000000-0004-0000-0200-00003C000000}"/>
    <hyperlink ref="C63" r:id="rId62" tooltip="https://doi.org/10.6084/m9.figshare.19858927.v3" xr:uid="{00000000-0004-0000-0200-00003D000000}"/>
    <hyperlink ref="C64" r:id="rId63" tooltip="https://services3.arcgis.com/T4QMspbfLg3qTGWY/arcgis/rest/services/Historic_Geomac_Perimeters_2018/FeatureServer/0/query?objectIds=983&amp;outFields=%2A&amp;returnGeometry=false&amp;f=pjson" xr:uid="{00000000-0004-0000-0200-00003E000000}"/>
    <hyperlink ref="C65" r:id="rId64" tooltip="https://services3.arcgis.com/T4QMspbfLg3qTGWY/arcgis/rest/services/Historic_Geomac_Perimeters_2018/FeatureServer/0/query?objectIds=980&amp;outFields=%2A&amp;returnGeometry=false&amp;f=pjson" xr:uid="{00000000-0004-0000-0200-00003F000000}"/>
    <hyperlink ref="C66" r:id="rId65" tooltip="https://doi.org/10.6084/m9.figshare.19858927.v3" xr:uid="{00000000-0004-0000-0200-000040000000}"/>
    <hyperlink ref="C67" r:id="rId66" tooltip="https://doi.org/10.6084/m9.figshare.19858927.v3" xr:uid="{00000000-0004-0000-0200-000041000000}"/>
    <hyperlink ref="C68" r:id="rId67" tooltip="https://services3.arcgis.com/T4QMspbfLg3qTGWY/arcgis/rest/services/Historic_Geomac_Perimeters_2018/FeatureServer/0/query?objectIds=156&amp;outFields=%2A&amp;returnGeometry=false&amp;f=pjson" xr:uid="{00000000-0004-0000-0200-000042000000}"/>
    <hyperlink ref="C69" r:id="rId68" tooltip="https://services3.arcgis.com/T4QMspbfLg3qTGWY/arcgis/rest/services/Historic_Geomac_Perimeters_2018/FeatureServer/0/query?objectIds=155&amp;outFields=%2A&amp;returnGeometry=false&amp;f=pjson" xr:uid="{00000000-0004-0000-0200-000043000000}"/>
    <hyperlink ref="C70" r:id="rId69" tooltip="https://doi.org/10.6084/m9.figshare.19858927.v3" xr:uid="{00000000-0004-0000-0200-000044000000}"/>
    <hyperlink ref="C71" r:id="rId70" tooltip="https://doi.org/10.6084/m9.figshare.19858927.v3" xr:uid="{00000000-0004-0000-0200-000045000000}"/>
    <hyperlink ref="C72" r:id="rId71" tooltip="https://services3.arcgis.com/T4QMspbfLg3qTGWY/arcgis/rest/services/Historic_Geomac_Perimeters_2018/FeatureServer/0/query?objectIds=3015&amp;outFields=%2A&amp;returnGeometry=false&amp;f=pjson" xr:uid="{00000000-0004-0000-0200-000046000000}"/>
    <hyperlink ref="C73" r:id="rId72" tooltip="https://services3.arcgis.com/T4QMspbfLg3qTGWY/arcgis/rest/services/Historic_Geomac_Perimeters_2018/FeatureServer/0/query?objectIds=3020&amp;outFields=%2A&amp;returnGeometry=false&amp;f=pjson" xr:uid="{00000000-0004-0000-0200-000047000000}"/>
    <hyperlink ref="C74" r:id="rId73" tooltip="https://doi.org/10.6084/m9.figshare.19858927.v3" xr:uid="{00000000-0004-0000-0200-000048000000}"/>
    <hyperlink ref="C75" r:id="rId74" tooltip="https://doi.org/10.6084/m9.figshare.19858927.v3" xr:uid="{00000000-0004-0000-0200-000049000000}"/>
    <hyperlink ref="C76" r:id="rId75" tooltip="https://services3.arcgis.com/T4QMspbfLg3qTGWY/arcgis/rest/services/Historic_Geomac_Perimeters_2018/FeatureServer/0/query?objectIds=3577&amp;outFields=%2A&amp;returnGeometry=false&amp;f=pjson" xr:uid="{00000000-0004-0000-0200-00004A000000}"/>
    <hyperlink ref="C77" r:id="rId76" tooltip="https://services3.arcgis.com/T4QMspbfLg3qTGWY/arcgis/rest/services/Historic_Geomac_Perimeters_2018/FeatureServer/0/query?objectIds=456&amp;outFields=%2A&amp;returnGeometry=false&amp;f=pjson" xr:uid="{00000000-0004-0000-0200-00004B000000}"/>
    <hyperlink ref="C78" r:id="rId77" tooltip="https://doi.org/10.6084/m9.figshare.19858927.v3" xr:uid="{00000000-0004-0000-0200-00004C000000}"/>
    <hyperlink ref="C79" r:id="rId78" tooltip="https://doi.org/10.6084/m9.figshare.19858927.v3" xr:uid="{00000000-0004-0000-0200-00004D000000}"/>
    <hyperlink ref="C80" r:id="rId79" tooltip="https://services3.arcgis.com/T4QMspbfLg3qTGWY/arcgis/rest/services/Historic_Geomac_Perimeters_2018/FeatureServer/0/query?objectIds=3883&amp;outFields=%2A&amp;returnGeometry=false&amp;f=pjson" xr:uid="{00000000-0004-0000-0200-00004E000000}"/>
    <hyperlink ref="C81" r:id="rId80" tooltip="https://services3.arcgis.com/T4QMspbfLg3qTGWY/arcgis/rest/services/Historic_Geomac_Perimeters_2018/FeatureServer/0/query?objectIds=4033&amp;outFields=%2A&amp;returnGeometry=false&amp;f=pjson" xr:uid="{00000000-0004-0000-0200-00004F000000}"/>
    <hyperlink ref="C82" r:id="rId81" tooltip="https://doi.org/10.6084/m9.figshare.19858927.v3" xr:uid="{00000000-0004-0000-0200-000050000000}"/>
    <hyperlink ref="C83" r:id="rId82" tooltip="https://doi.org/10.6084/m9.figshare.19858927.v3" xr:uid="{00000000-0004-0000-0200-000051000000}"/>
    <hyperlink ref="C84" r:id="rId83" tooltip="https://services3.arcgis.com/T4QMspbfLg3qTGWY/arcgis/rest/services/Historic_Geomac_Perimeters_2018/FeatureServer/0/query?objectIds=4024&amp;outFields=%2A&amp;returnGeometry=false&amp;f=pjson" xr:uid="{00000000-0004-0000-0200-000052000000}"/>
    <hyperlink ref="C85" r:id="rId84" tooltip="https://services3.arcgis.com/T4QMspbfLg3qTGWY/arcgis/rest/services/Historic_Geomac_Perimeters_2018/FeatureServer/0/query?objectIds=4025&amp;outFields=%2A&amp;returnGeometry=false&amp;f=pjson" xr:uid="{00000000-0004-0000-0200-000053000000}"/>
    <hyperlink ref="C86" r:id="rId85" tooltip="https://doi.org/10.6084/m9.figshare.19858927.v3" xr:uid="{00000000-0004-0000-0200-000054000000}"/>
    <hyperlink ref="C87" r:id="rId86" tooltip="https://doi.org/10.6084/m9.figshare.19858927.v3" xr:uid="{00000000-0004-0000-0200-000055000000}"/>
    <hyperlink ref="C88" r:id="rId87" tooltip="https://services3.arcgis.com/T4QMspbfLg3qTGWY/arcgis/rest/services/Historic_Geomac_Perimeters_2018/FeatureServer/0/query?objectIds=3598&amp;outFields=%2A&amp;returnGeometry=false&amp;f=pjson" xr:uid="{00000000-0004-0000-0200-000056000000}"/>
    <hyperlink ref="C89" r:id="rId88" tooltip="https://services3.arcgis.com/T4QMspbfLg3qTGWY/arcgis/rest/services/Historic_Geomac_Perimeters_2018/FeatureServer/0/query?objectIds=3611&amp;outFields=%2A&amp;returnGeometry=false&amp;f=pjson" xr:uid="{00000000-0004-0000-0200-000057000000}"/>
    <hyperlink ref="C90" r:id="rId89" tooltip="https://doi.org/10.6084/m9.figshare.19858927.v3" xr:uid="{00000000-0004-0000-0200-000058000000}"/>
    <hyperlink ref="C91" r:id="rId90" tooltip="https://doi.org/10.6084/m9.figshare.19858927.v3" xr:uid="{00000000-0004-0000-0200-000059000000}"/>
    <hyperlink ref="C92" r:id="rId91" tooltip="https://services3.arcgis.com/T4QMspbfLg3qTGWY/arcgis/rest/services/Historic_Geomac_Perimeters_2018/FeatureServer/0/query?objectIds=4126&amp;outFields=%2A&amp;returnGeometry=false&amp;f=pjson" xr:uid="{00000000-0004-0000-0200-00005A000000}"/>
    <hyperlink ref="C93" r:id="rId92" tooltip="https://services3.arcgis.com/T4QMspbfLg3qTGWY/arcgis/rest/services/Historic_Geomac_Perimeters_2018/FeatureServer/0/query?objectIds=4052&amp;outFields=%2A&amp;returnGeometry=false&amp;f=pjson" xr:uid="{00000000-0004-0000-0200-00005B000000}"/>
    <hyperlink ref="C94" r:id="rId93" tooltip="https://doi.org/10.6084/m9.figshare.19858927.v3" xr:uid="{00000000-0004-0000-0200-00005C000000}"/>
    <hyperlink ref="C95" r:id="rId94" tooltip="https://doi.org/10.6084/m9.figshare.19858927.v3" xr:uid="{00000000-0004-0000-0200-00005D000000}"/>
    <hyperlink ref="C96" r:id="rId95" tooltip="https://services3.arcgis.com/T4QMspbfLg3qTGWY/arcgis/rest/services/Historic_Geomac_Perimeters_2018/FeatureServer/0/query?objectIds=98&amp;outFields=%2A&amp;returnGeometry=false&amp;f=pjson" xr:uid="{00000000-0004-0000-0200-00005E000000}"/>
    <hyperlink ref="C97" r:id="rId96" tooltip="https://services3.arcgis.com/T4QMspbfLg3qTGWY/arcgis/rest/services/Historic_Geomac_Perimeters_2018/FeatureServer/0/query?objectIds=4182&amp;outFields=%2A&amp;returnGeometry=false&amp;f=pjson" xr:uid="{00000000-0004-0000-0200-00005F000000}"/>
    <hyperlink ref="C98" r:id="rId97" tooltip="https://doi.org/10.6084/m9.figshare.19858927.v3" xr:uid="{00000000-0004-0000-0200-000060000000}"/>
    <hyperlink ref="C99" r:id="rId98" tooltip="https://doi.org/10.6084/m9.figshare.19858927.v3" xr:uid="{00000000-0004-0000-0200-000061000000}"/>
    <hyperlink ref="C100" r:id="rId99" tooltip="https://services3.arcgis.com/T4QMspbfLg3qTGWY/arcgis/rest/services/Historic_Geomac_Perimeters_2018/FeatureServer/0/query?objectIds=1223&amp;outFields=%2A&amp;returnGeometry=false&amp;f=pjson" xr:uid="{00000000-0004-0000-0200-000062000000}"/>
    <hyperlink ref="C101" r:id="rId100" tooltip="https://services3.arcgis.com/T4QMspbfLg3qTGWY/arcgis/rest/services/Historic_Geomac_Perimeters_2018/FeatureServer/0/query?objectIds=4195&amp;outFields=%2A&amp;returnGeometry=false&amp;f=pjson" xr:uid="{00000000-0004-0000-0200-000063000000}"/>
    <hyperlink ref="C102" r:id="rId101" tooltip="https://doi.org/10.6084/m9.figshare.19858927.v3" xr:uid="{00000000-0004-0000-0200-000064000000}"/>
    <hyperlink ref="C103" r:id="rId102" tooltip="https://doi.org/10.6084/m9.figshare.19858927.v3" xr:uid="{00000000-0004-0000-0200-000065000000}"/>
    <hyperlink ref="C104" r:id="rId103" tooltip="https://doi.org/10.6084/m9.figshare.19858927.v3" xr:uid="{00000000-0004-0000-0200-000066000000}"/>
    <hyperlink ref="C105" r:id="rId104" tooltip="https://services3.arcgis.com/T4QMspbfLg3qTGWY/arcgis/rest/services/Historic_Geomac_Perimeters_2018/FeatureServer/0/query?objectIds=1222&amp;outFields=%2A&amp;returnGeometry=false&amp;f=pjson" xr:uid="{00000000-0004-0000-0200-000067000000}"/>
    <hyperlink ref="C106" r:id="rId105" tooltip="https://services3.arcgis.com/T4QMspbfLg3qTGWY/arcgis/rest/services/Historic_Geomac_Perimeters_2018/FeatureServer/0/query?objectIds=1226&amp;outFields=%2A&amp;returnGeometry=false&amp;f=pjson" xr:uid="{00000000-0004-0000-0200-000068000000}"/>
    <hyperlink ref="C107" r:id="rId106" tooltip="https://doi.org/10.6084/m9.figshare.19858927.v3" xr:uid="{00000000-0004-0000-0200-000069000000}"/>
    <hyperlink ref="C108" r:id="rId107" tooltip="https://services3.arcgis.com/T4QMspbfLg3qTGWY/arcgis/rest/services/Historic_Geomac_Perimeters_2018/FeatureServer/0/query?objectIds=4&amp;outFields=%2A&amp;returnGeometry=false&amp;f=pjson" xr:uid="{00000000-0004-0000-0200-00006A000000}"/>
    <hyperlink ref="C109" r:id="rId108" tooltip="https://services3.arcgis.com/T4QMspbfLg3qTGWY/arcgis/rest/services/Historic_Geomac_Perimeters_2018/FeatureServer/0/query?objectIds=4519&amp;outFields=%2A&amp;returnGeometry=false&amp;f=pjson" xr:uid="{00000000-0004-0000-0200-00006B000000}"/>
    <hyperlink ref="C110" r:id="rId109" tooltip="https://doi.org/10.6084/m9.figshare.19858927.v3" xr:uid="{00000000-0004-0000-0200-00006C000000}"/>
    <hyperlink ref="C111" r:id="rId110" tooltip="https://doi.org/10.6084/m9.figshare.19858927.v3" xr:uid="{00000000-0004-0000-0200-00006D000000}"/>
    <hyperlink ref="C112" r:id="rId111" tooltip="https://services3.arcgis.com/T4QMspbfLg3qTGWY/arcgis/rest/services/Historic_Geomac_Perimeters_2018/FeatureServer/0/query?objectIds=4687&amp;outFields=%2A&amp;returnGeometry=false&amp;f=pjson" xr:uid="{00000000-0004-0000-0200-00006E000000}"/>
    <hyperlink ref="C113" r:id="rId112" tooltip="https://services3.arcgis.com/T4QMspbfLg3qTGWY/arcgis/rest/services/Historic_Geomac_Perimeters_2018/FeatureServer/0/query?objectIds=4682&amp;outFields=%2A&amp;returnGeometry=false&amp;f=pjson" xr:uid="{00000000-0004-0000-0200-00006F000000}"/>
    <hyperlink ref="C114" r:id="rId113" tooltip="https://doi.org/10.6084/m9.figshare.19858927.v3" xr:uid="{00000000-0004-0000-0200-000070000000}"/>
    <hyperlink ref="C115" r:id="rId114" tooltip="https://doi.org/10.6084/m9.figshare.19858927.v3" xr:uid="{00000000-0004-0000-0200-000071000000}"/>
    <hyperlink ref="C116" r:id="rId115" tooltip="https://doi.org/10.6084/m9.figshare.19858927.v3" xr:uid="{00000000-0004-0000-0200-000072000000}"/>
    <hyperlink ref="C117" r:id="rId116" tooltip="https://services3.arcgis.com/T4QMspbfLg3qTGWY/arcgis/rest/services/Historic_Geomac_Perimeters_2018/FeatureServer/0/query?objectIds=3911&amp;outFields=%2A&amp;returnGeometry=false&amp;f=pjson" xr:uid="{00000000-0004-0000-0200-000073000000}"/>
    <hyperlink ref="C118" r:id="rId117" tooltip="https://doi.org/10.6084/m9.figshare.19858927.v3" xr:uid="{00000000-0004-0000-0200-000074000000}"/>
    <hyperlink ref="C119" r:id="rId118" tooltip="https://doi.org/10.6084/m9.figshare.19858927.v3" xr:uid="{00000000-0004-0000-0200-000075000000}"/>
    <hyperlink ref="C120" r:id="rId119" tooltip="https://doi.org/10.6084/m9.figshare.19858927.v3" xr:uid="{00000000-0004-0000-0200-000076000000}"/>
    <hyperlink ref="C121" r:id="rId120" tooltip="https://services3.arcgis.com/T4QMspbfLg3qTGWY/arcgis/rest/services/Historic_Geomac_Perimeters_2018/FeatureServer/0/query?objectIds=4290&amp;outFields=%2A&amp;returnGeometry=false&amp;f=pjson" xr:uid="{00000000-0004-0000-0200-000077000000}"/>
    <hyperlink ref="C122" r:id="rId121" tooltip="https://doi.org/10.6084/m9.figshare.19858927.v3" xr:uid="{00000000-0004-0000-0200-000078000000}"/>
    <hyperlink ref="C123" r:id="rId122" tooltip="https://services3.arcgis.com/T4QMspbfLg3qTGWY/arcgis/rest/services/Historic_Geomac_Perimeters_2018/FeatureServer/0/query?objectIds=4332&amp;outFields=%2A&amp;returnGeometry=false&amp;f=pjson" xr:uid="{00000000-0004-0000-0200-000079000000}"/>
    <hyperlink ref="C124" r:id="rId123" tooltip="https://doi.org/10.6084/m9.figshare.19858927.v3" xr:uid="{00000000-0004-0000-0200-00007A000000}"/>
    <hyperlink ref="C125" r:id="rId124" tooltip="https://services3.arcgis.com/T4QMspbfLg3qTGWY/arcgis/rest/services/Historic_Geomac_Perimeters_2018/FeatureServer/0/query?objectIds=3382&amp;outFields=%2A&amp;returnGeometry=false&amp;f=pjson" xr:uid="{00000000-0004-0000-0200-00007B000000}"/>
    <hyperlink ref="C126" r:id="rId125" tooltip="https://services3.arcgis.com/T4QMspbfLg3qTGWY/arcgis/rest/services/Historic_Geomac_Perimeters_2018/FeatureServer/0/query?objectIds=573&amp;outFields=%2A&amp;returnGeometry=false&amp;f=pjson" xr:uid="{00000000-0004-0000-0200-00007C000000}"/>
    <hyperlink ref="C127" r:id="rId126" tooltip="https://doi.org/10.6084/m9.figshare.19858927.v3" xr:uid="{00000000-0004-0000-0200-00007D000000}"/>
    <hyperlink ref="C128" r:id="rId127" tooltip="https://doi.org/10.6084/m9.figshare.19858927.v3" xr:uid="{00000000-0004-0000-0200-00007E000000}"/>
    <hyperlink ref="C129" r:id="rId128" tooltip="https://services3.arcgis.com/T4QMspbfLg3qTGWY/arcgis/rest/services/Historic_Geomac_Perimeters_2018/FeatureServer/0/query?objectIds=28&amp;outFields=%2A&amp;returnGeometry=false&amp;f=pjson" xr:uid="{00000000-0004-0000-0200-00007F000000}"/>
    <hyperlink ref="C130" r:id="rId129" tooltip="https://doi.org/10.6084/m9.figshare.19858927.v3" xr:uid="{00000000-0004-0000-0200-000080000000}"/>
    <hyperlink ref="C131" r:id="rId130" tooltip="https://www.nps.gov/whis/carr-fire-timeline.htm" xr:uid="{00000000-0004-0000-0200-000081000000}"/>
    <hyperlink ref="C132" r:id="rId131" tooltip="https://doi.org/10.6084/m9.figshare.19858927.v3" xr:uid="{00000000-0004-0000-0200-000082000000}"/>
    <hyperlink ref="C133" r:id="rId132" tooltip="https://services3.arcgis.com/T4QMspbfLg3qTGWY/arcgis/rest/services/Historic_Geomac_Perimeters_2018/FeatureServer/0/query?objectIds=4863&amp;outFields=%2A&amp;returnGeometry=false&amp;f=pjson" xr:uid="{00000000-0004-0000-0200-000083000000}"/>
    <hyperlink ref="C134" r:id="rId133" tooltip="https://doi.org/10.6084/m9.figshare.19858927.v3" xr:uid="{00000000-0004-0000-0200-000084000000}"/>
    <hyperlink ref="C135" r:id="rId134" tooltip="https://doi.org/10.6084/m9.figshare.19858927.v3" xr:uid="{00000000-0004-0000-0200-000085000000}"/>
    <hyperlink ref="C136" r:id="rId135" tooltip="https://services3.arcgis.com/T4QMspbfLg3qTGWY/arcgis/rest/services/Historic_Geomac_Perimeters_2018/FeatureServer/0/query?objectIds=291&amp;outFields=%2A&amp;returnGeometry=false&amp;f=pjson" xr:uid="{00000000-0004-0000-0200-000086000000}"/>
    <hyperlink ref="C137" r:id="rId136" tooltip="https://doi.org/10.6084/m9.figshare.19858927.v3" xr:uid="{00000000-0004-0000-0200-000087000000}"/>
    <hyperlink ref="C138" r:id="rId137" tooltip="https://doi.org/10.6084/m9.figshare.19858927.v3" xr:uid="{00000000-0004-0000-0200-000088000000}"/>
    <hyperlink ref="C139" r:id="rId138" tooltip="https://doi.org/10.6084/m9.figshare.19858927.v3" xr:uid="{00000000-0004-0000-0200-000089000000}"/>
    <hyperlink ref="C140" r:id="rId139" tooltip="https://doi.org/10.6084/m9.figshare.19858927.v3" xr:uid="{00000000-0004-0000-0200-00008A000000}"/>
    <hyperlink ref="C141" r:id="rId140" tooltip="https://services3.arcgis.com/T4QMspbfLg3qTGWY/arcgis/rest/services/Historic_Geomac_Perimeters_2018/FeatureServer/0/query?objectIds=2748&amp;outFields=%2A&amp;returnGeometry=false&amp;f=pjson" xr:uid="{00000000-0004-0000-0200-00008B000000}"/>
    <hyperlink ref="C142" r:id="rId141" tooltip="https://doi.org/10.6084/m9.figshare.19858927.v3" xr:uid="{00000000-0004-0000-0200-00008C000000}"/>
    <hyperlink ref="C143" r:id="rId142" tooltip="https://doi.org/10.6084/m9.figshare.19858927.v3" xr:uid="{00000000-0004-0000-0200-00008D000000}"/>
    <hyperlink ref="C144" r:id="rId143" tooltip="https://doi.org/10.6084/m9.figshare.19858927.v3" xr:uid="{00000000-0004-0000-0200-00008E000000}"/>
    <hyperlink ref="C145" r:id="rId144" tooltip="https://doi.org/10.6084/m9.figshare.19858927.v3" xr:uid="{00000000-0004-0000-0200-00008F000000}"/>
    <hyperlink ref="C146" r:id="rId145" tooltip="https://doi.org/10.6084/m9.figshare.19858927.v3" xr:uid="{00000000-0004-0000-0200-000090000000}"/>
    <hyperlink ref="C147" r:id="rId146" tooltip="https://services3.arcgis.com/T4QMspbfLg3qTGWY/arcgis/rest/services/Historic_Geomac_Perimeters_2018/FeatureServer/0/query?objectIds=4523&amp;outFields=%2A&amp;returnGeometry=false&amp;f=pjson" xr:uid="{00000000-0004-0000-0200-000091000000}"/>
    <hyperlink ref="C148" r:id="rId147" tooltip="https://doi.org/10.6084/m9.figshare.19858927.v3" xr:uid="{00000000-0004-0000-0200-000092000000}"/>
    <hyperlink ref="C149" r:id="rId148" tooltip="https://services3.arcgis.com/T4QMspbfLg3qTGWY/arcgis/rest/services/Historic_Geomac_Perimeters_2018/FeatureServer/0/query?objectIds=1488&amp;outFields=%2A&amp;returnGeometry=false&amp;f=pjson" xr:uid="{00000000-0004-0000-0200-000093000000}"/>
    <hyperlink ref="C150" r:id="rId149" tooltip="https://doi.org/10.6084/m9.figshare.19858927.v3" xr:uid="{00000000-0004-0000-0200-000094000000}"/>
    <hyperlink ref="C151" r:id="rId150" tooltip="https://doi.org/10.6084/m9.figshare.19858927.v3" xr:uid="{00000000-0004-0000-0200-000095000000}"/>
    <hyperlink ref="C152" r:id="rId151" tooltip="https://services3.arcgis.com/T4QMspbfLg3qTGWY/arcgis/rest/services/Historic_Geomac_Perimeters_2018/FeatureServer/0/query?objectIds=4165&amp;outFields=%2A&amp;returnGeometry=false&amp;f=pjson" xr:uid="{00000000-0004-0000-0200-000096000000}"/>
    <hyperlink ref="C153" r:id="rId152" tooltip="https://doi.org/10.6084/m9.figshare.19858927.v3" xr:uid="{00000000-0004-0000-0200-000097000000}"/>
    <hyperlink ref="C154" r:id="rId153" tooltip="https://services3.arcgis.com/T4QMspbfLg3qTGWY/arcgis/rest/services/Historic_Geomac_Perimeters_2018/FeatureServer/0/query?objectIds=4270&amp;outFields=%2A&amp;returnGeometry=false&amp;f=pjson" xr:uid="{00000000-0004-0000-0200-000098000000}"/>
    <hyperlink ref="C155" r:id="rId154" tooltip="https://www.fire.ca.gov/incidents/2018/7/23/carr-fire" xr:uid="{00000000-0004-0000-0200-000099000000}"/>
    <hyperlink ref="C156" r:id="rId155" tooltip="https://doi.org/10.6084/m9.figshare.19858927.v3" xr:uid="{00000000-0004-0000-0200-00009A000000}"/>
    <hyperlink ref="C157" r:id="rId156" tooltip="https://services3.arcgis.com/T4QMspbfLg3qTGWY/arcgis/rest/services/Historic_Geomac_Perimeters_2018/FeatureServer/0/query?objectIds=4266&amp;outFields=%2A&amp;returnGeometry=false&amp;f=pjson" xr:uid="{00000000-0004-0000-0200-00009B000000}"/>
    <hyperlink ref="C158" r:id="rId157" tooltip="https://doi.org/10.1038/s41597-022-01343-0" xr:uid="{00000000-0004-0000-0200-00009C000000}"/>
    <hyperlink ref="C159" r:id="rId158" tooltip="https://doi.org/10.3390/fire3030043" xr:uid="{00000000-0004-0000-0200-00009D000000}"/>
    <hyperlink ref="C160" r:id="rId159" tooltip="https://doi.org/10.1016/j.ecoinf.2026.103777" xr:uid="{00000000-0004-0000-0200-00009E000000}"/>
  </hyperlinks>
  <pageMargins left="0.7" right="0.7" top="0.75" bottom="0.75" header="0.3" footer="0.3"/>
  <tableParts count="1">
    <tablePart r:id="rId16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3.8"/>
  <cols>
    <col min="1" max="1" width="13" style="12" customWidth="1"/>
    <col min="2" max="3" width="86" style="12" customWidth="1"/>
    <col min="4" max="16384" width="8.76171875" style="12"/>
  </cols>
  <sheetData>
    <row r="1" spans="1:3" ht="30" customHeight="1">
      <c r="A1" s="1" t="s">
        <v>437</v>
      </c>
      <c r="B1" s="1" t="s">
        <v>438</v>
      </c>
      <c r="C1" s="1" t="s">
        <v>439</v>
      </c>
    </row>
    <row r="2" spans="1:3" ht="36" customHeight="1">
      <c r="A2" s="18" t="s">
        <v>440</v>
      </c>
      <c r="B2" s="18" t="s">
        <v>441</v>
      </c>
      <c r="C2" s="13" t="s">
        <v>442</v>
      </c>
    </row>
    <row r="3" spans="1:3" ht="36" customHeight="1">
      <c r="A3" s="18" t="s">
        <v>440</v>
      </c>
      <c r="B3" s="18" t="s">
        <v>443</v>
      </c>
      <c r="C3" s="13" t="s">
        <v>444</v>
      </c>
    </row>
    <row r="4" spans="1:3" ht="36" customHeight="1">
      <c r="A4" s="18" t="s">
        <v>440</v>
      </c>
      <c r="B4" s="18" t="s">
        <v>445</v>
      </c>
      <c r="C4" s="13" t="s">
        <v>446</v>
      </c>
    </row>
    <row r="5" spans="1:3" ht="29.05" customHeight="1">
      <c r="A5" s="18" t="s">
        <v>440</v>
      </c>
      <c r="B5" s="18" t="s">
        <v>447</v>
      </c>
      <c r="C5" s="13" t="s">
        <v>448</v>
      </c>
    </row>
    <row r="6" spans="1:3" ht="29.05" customHeight="1">
      <c r="A6" s="18" t="s">
        <v>440</v>
      </c>
      <c r="B6" s="18" t="s">
        <v>449</v>
      </c>
      <c r="C6" s="13" t="s">
        <v>450</v>
      </c>
    </row>
    <row r="7" spans="1:3" ht="36" customHeight="1">
      <c r="A7" s="18" t="s">
        <v>440</v>
      </c>
      <c r="B7" s="18" t="s">
        <v>451</v>
      </c>
      <c r="C7" s="13" t="s">
        <v>452</v>
      </c>
    </row>
    <row r="8" spans="1:3" ht="36" customHeight="1">
      <c r="A8" s="18" t="s">
        <v>440</v>
      </c>
      <c r="B8" s="18" t="s">
        <v>453</v>
      </c>
      <c r="C8" s="13" t="s">
        <v>454</v>
      </c>
    </row>
    <row r="9" spans="1:3" ht="29.05" customHeight="1">
      <c r="A9" s="18" t="s">
        <v>440</v>
      </c>
      <c r="B9" s="18" t="s">
        <v>455</v>
      </c>
      <c r="C9" s="13" t="s">
        <v>456</v>
      </c>
    </row>
    <row r="10" spans="1:3" ht="29.05" customHeight="1">
      <c r="A10" s="18" t="s">
        <v>440</v>
      </c>
      <c r="B10" s="18" t="s">
        <v>457</v>
      </c>
      <c r="C10" s="13" t="s">
        <v>458</v>
      </c>
    </row>
    <row r="11" spans="1:3" ht="29.05" customHeight="1">
      <c r="A11" s="18" t="s">
        <v>440</v>
      </c>
      <c r="B11" s="18" t="s">
        <v>459</v>
      </c>
      <c r="C11" s="13" t="s">
        <v>460</v>
      </c>
    </row>
    <row r="12" spans="1:3" ht="29.05" customHeight="1">
      <c r="A12" s="18" t="s">
        <v>440</v>
      </c>
      <c r="B12" s="18" t="s">
        <v>461</v>
      </c>
      <c r="C12" s="13" t="s">
        <v>462</v>
      </c>
    </row>
    <row r="13" spans="1:3" ht="36" customHeight="1">
      <c r="A13" s="18" t="s">
        <v>440</v>
      </c>
      <c r="B13" s="18" t="s">
        <v>79</v>
      </c>
      <c r="C13" s="13" t="s">
        <v>463</v>
      </c>
    </row>
    <row r="14" spans="1:3" ht="36" customHeight="1">
      <c r="A14" s="18" t="s">
        <v>464</v>
      </c>
      <c r="B14" s="18" t="s">
        <v>465</v>
      </c>
      <c r="C14" s="13" t="s">
        <v>466</v>
      </c>
    </row>
    <row r="15" spans="1:3" ht="29.05" customHeight="1">
      <c r="A15" s="18" t="s">
        <v>464</v>
      </c>
      <c r="B15" s="18" t="s">
        <v>467</v>
      </c>
      <c r="C15" s="13" t="s">
        <v>468</v>
      </c>
    </row>
    <row r="16" spans="1:3" ht="36" customHeight="1">
      <c r="A16" s="18" t="s">
        <v>464</v>
      </c>
      <c r="B16" s="18" t="s">
        <v>469</v>
      </c>
      <c r="C16" s="13" t="s">
        <v>470</v>
      </c>
    </row>
    <row r="17" spans="1:3" ht="36" customHeight="1">
      <c r="A17" s="18" t="s">
        <v>464</v>
      </c>
      <c r="B17" s="18" t="s">
        <v>471</v>
      </c>
      <c r="C17" s="13" t="s">
        <v>472</v>
      </c>
    </row>
    <row r="18" spans="1:3" ht="36" customHeight="1">
      <c r="A18" s="18" t="s">
        <v>464</v>
      </c>
      <c r="B18" s="18" t="s">
        <v>473</v>
      </c>
      <c r="C18" s="13" t="s">
        <v>474</v>
      </c>
    </row>
    <row r="19" spans="1:3" ht="29.05" customHeight="1">
      <c r="A19" s="18" t="s">
        <v>464</v>
      </c>
      <c r="B19" s="18" t="s">
        <v>475</v>
      </c>
      <c r="C19" s="13" t="s">
        <v>476</v>
      </c>
    </row>
    <row r="20" spans="1:3" ht="36" customHeight="1">
      <c r="A20" s="18" t="s">
        <v>464</v>
      </c>
      <c r="B20" s="18" t="s">
        <v>477</v>
      </c>
      <c r="C20" s="13" t="s">
        <v>478</v>
      </c>
    </row>
    <row r="21" spans="1:3" ht="36" customHeight="1">
      <c r="A21" s="18" t="s">
        <v>464</v>
      </c>
      <c r="B21" s="18" t="s">
        <v>479</v>
      </c>
      <c r="C21" s="13" t="s">
        <v>480</v>
      </c>
    </row>
    <row r="22" spans="1:3" ht="29.05" customHeight="1">
      <c r="A22" s="18" t="s">
        <v>464</v>
      </c>
      <c r="B22" s="18" t="s">
        <v>447</v>
      </c>
      <c r="C22" s="13" t="s">
        <v>448</v>
      </c>
    </row>
    <row r="23" spans="1:3" ht="36" customHeight="1">
      <c r="A23" s="18" t="s">
        <v>464</v>
      </c>
      <c r="B23" s="18" t="s">
        <v>481</v>
      </c>
      <c r="C23" s="13" t="s">
        <v>482</v>
      </c>
    </row>
    <row r="24" spans="1:3" ht="36" customHeight="1">
      <c r="A24" s="18" t="s">
        <v>464</v>
      </c>
      <c r="B24" s="18" t="s">
        <v>483</v>
      </c>
      <c r="C24" s="13" t="s">
        <v>484</v>
      </c>
    </row>
    <row r="25" spans="1:3" ht="29.05" customHeight="1">
      <c r="A25" s="18" t="s">
        <v>464</v>
      </c>
      <c r="B25" s="18" t="s">
        <v>485</v>
      </c>
      <c r="C25" s="13" t="s">
        <v>486</v>
      </c>
    </row>
    <row r="26" spans="1:3" ht="36" customHeight="1">
      <c r="A26" s="18" t="s">
        <v>487</v>
      </c>
      <c r="B26" s="18" t="s">
        <v>488</v>
      </c>
      <c r="C26" s="13" t="s">
        <v>489</v>
      </c>
    </row>
    <row r="27" spans="1:3" ht="29.05" customHeight="1">
      <c r="A27" s="18" t="s">
        <v>487</v>
      </c>
      <c r="B27" s="18" t="s">
        <v>490</v>
      </c>
      <c r="C27" s="13" t="s">
        <v>491</v>
      </c>
    </row>
    <row r="28" spans="1:3" ht="29.05" customHeight="1">
      <c r="A28" s="18" t="s">
        <v>487</v>
      </c>
      <c r="B28" s="18" t="s">
        <v>492</v>
      </c>
      <c r="C28" s="13" t="s">
        <v>493</v>
      </c>
    </row>
    <row r="29" spans="1:3" ht="36" customHeight="1">
      <c r="A29" s="18" t="s">
        <v>487</v>
      </c>
      <c r="B29" s="18" t="s">
        <v>473</v>
      </c>
      <c r="C29" s="13" t="s">
        <v>474</v>
      </c>
    </row>
    <row r="30" spans="1:3" ht="36" customHeight="1">
      <c r="A30" s="18" t="s">
        <v>487</v>
      </c>
      <c r="B30" s="18" t="s">
        <v>494</v>
      </c>
      <c r="C30" s="13" t="s">
        <v>495</v>
      </c>
    </row>
    <row r="31" spans="1:3" ht="29.05" customHeight="1">
      <c r="A31" s="18" t="s">
        <v>487</v>
      </c>
      <c r="B31" s="18" t="s">
        <v>447</v>
      </c>
      <c r="C31" s="13" t="s">
        <v>448</v>
      </c>
    </row>
    <row r="32" spans="1:3" ht="29.05" customHeight="1">
      <c r="A32" s="18" t="s">
        <v>487</v>
      </c>
      <c r="B32" s="18" t="s">
        <v>496</v>
      </c>
      <c r="C32" s="13" t="s">
        <v>497</v>
      </c>
    </row>
    <row r="33" spans="1:3" ht="36" customHeight="1">
      <c r="A33" s="18" t="s">
        <v>487</v>
      </c>
      <c r="B33" s="18" t="s">
        <v>498</v>
      </c>
      <c r="C33" s="13" t="s">
        <v>499</v>
      </c>
    </row>
    <row r="34" spans="1:3" ht="29.05" customHeight="1">
      <c r="A34" s="18" t="s">
        <v>487</v>
      </c>
      <c r="B34" s="18" t="s">
        <v>500</v>
      </c>
      <c r="C34" s="13" t="s">
        <v>501</v>
      </c>
    </row>
    <row r="35" spans="1:3" ht="36" customHeight="1">
      <c r="A35" s="18" t="s">
        <v>487</v>
      </c>
      <c r="B35" s="18" t="s">
        <v>502</v>
      </c>
      <c r="C35" s="13" t="s">
        <v>503</v>
      </c>
    </row>
    <row r="36" spans="1:3" ht="29.05" customHeight="1">
      <c r="A36" s="18" t="s">
        <v>487</v>
      </c>
      <c r="B36" s="18" t="s">
        <v>455</v>
      </c>
      <c r="C36" s="13" t="s">
        <v>456</v>
      </c>
    </row>
    <row r="37" spans="1:3" ht="36" customHeight="1">
      <c r="A37" s="18" t="s">
        <v>487</v>
      </c>
      <c r="B37" s="18" t="s">
        <v>504</v>
      </c>
      <c r="C37" s="13" t="s">
        <v>505</v>
      </c>
    </row>
    <row r="38" spans="1:3" ht="36" customHeight="1">
      <c r="A38" s="18" t="s">
        <v>487</v>
      </c>
      <c r="B38" s="18" t="s">
        <v>506</v>
      </c>
      <c r="C38" s="13" t="s">
        <v>507</v>
      </c>
    </row>
    <row r="39" spans="1:3" ht="36" customHeight="1">
      <c r="A39" s="18" t="s">
        <v>487</v>
      </c>
      <c r="B39" s="18" t="s">
        <v>508</v>
      </c>
      <c r="C39" s="13" t="s">
        <v>509</v>
      </c>
    </row>
    <row r="40" spans="1:3" ht="36" customHeight="1">
      <c r="A40" s="18" t="s">
        <v>487</v>
      </c>
      <c r="B40" s="18" t="s">
        <v>510</v>
      </c>
      <c r="C40" s="13" t="s">
        <v>511</v>
      </c>
    </row>
  </sheetData>
  <hyperlinks>
    <hyperlink ref="C2" r:id="rId1" tooltip="https://repository.library.noaa.gov/view/noaa/26432" xr:uid="{00000000-0004-0000-0300-000000000000}"/>
    <hyperlink ref="C3" r:id="rId2" tooltip="https://wildfiretoday.com/usfs-regional-fire-director-describes-the-management-of-the-pioneer-fire/" xr:uid="{00000000-0004-0000-0300-000001000000}"/>
    <hyperlink ref="C4" r:id="rId3" tooltip="https://doi.org/10.3390/fire2020022" xr:uid="{00000000-0004-0000-0300-000002000000}"/>
    <hyperlink ref="C5" r:id="rId4" tooltip="https://doi.org/10.6084/m9.figshare.19858927.v3" xr:uid="{00000000-0004-0000-0300-000003000000}"/>
    <hyperlink ref="C6" r:id="rId5" tooltip="https://www.nasa.gov/image-article/pioneer-fire-maple-fire-burning-still/" xr:uid="{00000000-0004-0000-0300-000004000000}"/>
    <hyperlink ref="C7" r:id="rId6" tooltip="https://doi.org/10.5194/acp-23-1-2023" xr:uid="{00000000-0004-0000-0300-000005000000}"/>
    <hyperlink ref="C8" r:id="rId7" tooltip="https://services3.arcgis.com/T4QMspbfLg3qTGWY/arcgis/rest/services/Historic_Geomac_Perimeters_2016/FeatureServer/0" xr:uid="{00000000-0004-0000-0300-000006000000}"/>
    <hyperlink ref="C9" r:id="rId8" tooltip="https://data-nifc.opendata.arcgis.com/" xr:uid="{00000000-0004-0000-0300-000007000000}"/>
    <hyperlink ref="C10" r:id="rId9" tooltip="https://doi.org/10.1029/2020GL089001" xr:uid="{00000000-0004-0000-0300-000008000000}"/>
    <hyperlink ref="C11" r:id="rId10" tooltip="https://yellowpinetimes.wordpress.com/2016/08/01/fire-update-aug-1/" xr:uid="{00000000-0004-0000-0300-000009000000}"/>
    <hyperlink ref="C12" r:id="rId11" tooltip="https://yellowpinetimes.wordpress.com/2016/09/29/fire-update-sept-29/" xr:uid="{00000000-0004-0000-0300-00000A000000}"/>
    <hyperlink ref="C13" r:id="rId12" tooltip="https://www.frames.gov/documents/catalog/calkin_et_al_2016_PioneerFireInquiry.pdf" xr:uid="{00000000-0004-0000-0300-00000B000000}"/>
    <hyperlink ref="C14" r:id="rId13" tooltip="https://assets1.cbsnewsstatic.com/i/cbslocal/wp-content/uploads/sites/15116056/2020/09/LNU-Lightning-Complex-Incident-Update-9.1.2020-7AM.pdf" xr:uid="{00000000-0004-0000-0300-00000C000000}"/>
    <hyperlink ref="C15" r:id="rId14" tooltip="https://www.fire.ca.gov/incidents/2020/8/17/lnu-lightning-complex" xr:uid="{00000000-0004-0000-0300-00000D000000}"/>
    <hyperlink ref="C16" r:id="rId15" tooltip="https://solano.legistar.com/View.ashx?GUID=799ECBBD-7436-4FA7-89B8-A2B43E740ABA&amp;ID=9448423&amp;M=F" xr:uid="{00000000-0004-0000-0300-00000E000000}"/>
    <hyperlink ref="C17" r:id="rId16" tooltip="https://services1.arcgis.com/jUJYIo9tSA7EHvfZ/arcgis/rest/services/LNU_Complex_Perimeter_20200828/FeatureServer/0" xr:uid="{00000000-0004-0000-0300-00000F000000}"/>
    <hyperlink ref="C18" r:id="rId17" tooltip="https://doi.org/10.1038/s41597-022-01343-0" xr:uid="{00000000-0004-0000-0300-000010000000}"/>
    <hyperlink ref="C19" r:id="rId18" tooltip="https://doi.org/10.6084/m9.figshare.c.5601537.v1" xr:uid="{00000000-0004-0000-0300-000011000000}"/>
    <hyperlink ref="C20" r:id="rId19" tooltip="https://www.mdpi.com/2072-4292/13/11/2203" xr:uid="{00000000-0004-0000-0300-000012000000}"/>
    <hyperlink ref="C21" r:id="rId20" tooltip="https://doi.org/10.3390/rs16163050" xr:uid="{00000000-0004-0000-0300-000013000000}"/>
    <hyperlink ref="C22" r:id="rId21" tooltip="https://doi.org/10.6084/m9.figshare.19858927.v3" xr:uid="{00000000-0004-0000-0300-000014000000}"/>
    <hyperlink ref="C23" r:id="rId22" tooltip="https://lakeconews.com/news/66725-officials-lnu-lightning-complex-expected-to-be-fully-contained-at-start-of-october" xr:uid="{00000000-0004-0000-0300-000015000000}"/>
    <hyperlink ref="C24" r:id="rId23" tooltip="https://essd.copernicus.org/articles/16/1395/2024/" xr:uid="{00000000-0004-0000-0300-000016000000}"/>
    <hyperlink ref="C25" r:id="rId24" tooltip="https://doi.org/10.5281/zenodo.14642378" xr:uid="{00000000-0004-0000-0300-000017000000}"/>
    <hyperlink ref="C26" r:id="rId25" tooltip="https://doi.org/10.1186/s42408-025-00377-0" xr:uid="{00000000-0004-0000-0300-000018000000}"/>
    <hyperlink ref="C27" r:id="rId26" tooltip="https://lessons.wildfire.gov/incident/carr-fire-entrapment-fatalities-2018" xr:uid="{00000000-0004-0000-0300-000019000000}"/>
    <hyperlink ref="C28" r:id="rId27" tooltip="https://www.fire.ca.gov/incidents/2018/7/23/carr-fire" xr:uid="{00000000-0004-0000-0300-00001A000000}"/>
    <hyperlink ref="C29" r:id="rId28" tooltip="https://doi.org/10.1038/s41597-022-01343-0" xr:uid="{00000000-0004-0000-0300-00001B000000}"/>
    <hyperlink ref="C30" r:id="rId29" tooltip="https://doi.org/10.3390/fire3030043" xr:uid="{00000000-0004-0000-0300-00001C000000}"/>
    <hyperlink ref="C31" r:id="rId30" tooltip="https://doi.org/10.6084/m9.figshare.19858927.v3" xr:uid="{00000000-0004-0000-0300-00001D000000}"/>
    <hyperlink ref="C32" r:id="rId31" tooltip="https://doi.org/10.1029/2018GL080667" xr:uid="{00000000-0004-0000-0300-00001E000000}"/>
    <hyperlink ref="C33" r:id="rId32" tooltip="https://doi.org/10.3390/fire5050147" xr:uid="{00000000-0004-0000-0300-00001F000000}"/>
    <hyperlink ref="C34" r:id="rId33" tooltip="https://www.nps.gov/whis/carr-fire-timeline.htm" xr:uid="{00000000-0004-0000-0300-000020000000}"/>
    <hyperlink ref="C35" r:id="rId34" tooltip="https://services3.arcgis.com/T4QMspbfLg3qTGWY/arcgis/rest/services/Historic_Geomac_Perimeters_2018/FeatureServer/0" xr:uid="{00000000-0004-0000-0300-000021000000}"/>
    <hyperlink ref="C36" r:id="rId35" tooltip="https://data-nifc.opendata.arcgis.com/" xr:uid="{00000000-0004-0000-0300-000022000000}"/>
    <hyperlink ref="C37" r:id="rId36" tooltip="https://doi.org/10.1016/j.ecoinf.2026.103777" xr:uid="{00000000-0004-0000-0300-000023000000}"/>
    <hyperlink ref="C38" r:id="rId37" tooltip="https://doi.org/10.1109/JSTARS.2020.3019261" xr:uid="{00000000-0004-0000-0300-000024000000}"/>
    <hyperlink ref="C39" r:id="rId38" tooltip="https://www.nps.gov/aboutus/foia/upload/Carr-Fire-Origin-and-Cause-Report-2-23-21_Redacted-w-cover.zip" xr:uid="{00000000-0004-0000-0300-000025000000}"/>
    <hyperlink ref="C40" r:id="rId39" tooltip="https://www.nps.gov/aboutus/foia/upload/Carr-Incident-Damage-Inspection-Report_508.zip" xr:uid="{00000000-0004-0000-0300-000026000000}"/>
  </hyperlinks>
  <pageMargins left="0.7" right="0.7" top="0.75" bottom="0.75" header="0.3" footer="0.3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Pioneer 2016</vt:lpstr>
      <vt:lpstr>LNU 2020</vt:lpstr>
      <vt:lpstr>Carr 2018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Yiming Jia</cp:lastModifiedBy>
  <dcterms:modified xsi:type="dcterms:W3CDTF">2026-10-05T20:03:59Z</dcterms:modified>
</cp:coreProperties>
</file>