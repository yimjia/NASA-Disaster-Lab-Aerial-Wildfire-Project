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vickylopez/Desktop/NASA_Aerial_Wildfire_Project/Uncertainty Quantification/"/>
    </mc:Choice>
  </mc:AlternateContent>
  <xr:revisionPtr revIDLastSave="0" documentId="13_ncr:1_{ADF23E8B-DF1F-5541-9B46-AB3168F15E0B}" xr6:coauthVersionLast="47" xr6:coauthVersionMax="47" xr10:uidLastSave="{00000000-0000-0000-0000-000000000000}"/>
  <bookViews>
    <workbookView xWindow="28780" yWindow="6700" windowWidth="21980" windowHeight="16740" firstSheet="3" activeTab="5" xr2:uid="{00000000-000D-0000-FFFF-FFFF00000000}"/>
  </bookViews>
  <sheets>
    <sheet name="README" sheetId="1" r:id="rId1"/>
    <sheet name="Uncertainty Register" sheetId="2" r:id="rId2"/>
    <sheet name="QoI Metrics" sheetId="3" r:id="rId3"/>
    <sheet name="Experiment Matrix" sheetId="4" r:id="rId4"/>
    <sheet name="Feasibility" sheetId="5" r:id="rId5"/>
    <sheet name="Case Study Summary" sheetId="6" r:id="rId6"/>
    <sheet name="Size Reconciliation" sheetId="7" r:id="rId7"/>
    <sheet name="Reporting Cadence" sheetId="8" r:id="rId8"/>
    <sheet name="Blowup Shortfall" sheetId="9" r:id="rId9"/>
    <sheet name="Daily Growth" sheetId="10" r:id="rId10"/>
    <sheet name="Resources M5" sheetId="11" r:id="rId11"/>
    <sheet name="Gap Register" sheetId="12" r:id="rId12"/>
    <sheet name="Hazard Info Age" sheetId="13" r:id="rId13"/>
    <sheet name="Revisit Curve" sheetId="14" r:id="rId14"/>
    <sheet name="Staleness" sheetId="15" r:id="rId15"/>
    <sheet name="Start and Containment" sheetId="16" r:id="rId16"/>
    <sheet name="Timestamp Flags" sheetId="17" r:id="rId17"/>
    <sheet name="GOFER vs Sources" sheetId="18" r:id="rId18"/>
    <sheet name="Supplement Sources" sheetId="19" r:id="rId19"/>
    <sheet name="Data Quality" sheetId="20" r:id="rId20"/>
    <sheet name="First Report Chain" sheetId="21" r:id="rId21"/>
    <sheet name="Drone Gap Coverage" sheetId="22" r:id="rId22"/>
    <sheet name="Drone Sortie Math" sheetId="23" r:id="rId23"/>
    <sheet name="M5 Questions (Week 6)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<sst xmlns="http://schemas.openxmlformats.org/spreadsheetml/2006/main" count="5962" uniqueCount="1737">
  <si>
    <t>Item</t>
  </si>
  <si>
    <t>Detail</t>
  </si>
  <si>
    <t>Version</t>
  </si>
  <si>
    <t>v0.5, 12 October 2026. Adds sheets First Report Chain, Drone Gap Coverage, Drone Sortie Math, and Uncertainty Register rows U21 to U24 (green). M5 stays Logistics support; its Week 6 questions are on the M5 Questions (Week 6) sheet. Camp ICS-209-PLUS time-area table is a separate file in perimeter_supplements/. All v0.4 sheets kept.</t>
  </si>
  <si>
    <t>What is new</t>
  </si>
  <si>
    <t>Fire Case Studies evaluation (Pioneer 2016, Carr 2018, Camp 2018, LNU 2020): sheets Case Study Summary to Data Quality. Uncertainty Register rows U12 to U16 and the updated U5 are shaded green.</t>
  </si>
  <si>
    <t>Built by</t>
  </si>
  <si>
    <t>case_study_evaluation.py, perimeter_gap_evaluation.py, first_report_evaluation.py, then build_uq_v05.py.</t>
  </si>
  <si>
    <t>Inputs</t>
  </si>
  <si>
    <t>Fire Case Studies/*/ (ICS-209-PLUS sheets, NICC Daily IMSR sheets, final perimeters); research_data/datasets/01_progression_perimeters (GeoMAC, FEDS); research_data/Research_Data_Index.xlsx (timing anchors).</t>
  </si>
  <si>
    <t>Size field</t>
  </si>
  <si>
    <t>All size comparisons use the as-reported ICS-209 CURR_INCIDENT_AREA. The ICS-209-PLUS ACRES field is cleaned and capped at the final size.</t>
  </si>
  <si>
    <t>Day alignment</t>
  </si>
  <si>
    <t>Each calendar day (local time) uses the last 209 report of the day; NICC is the report published the next morning; GeoMAC and FEDS are the last of the day.</t>
  </si>
  <si>
    <t>Citations</t>
  </si>
  <si>
    <t>Literature: [Doc Year, p.N] from the project RAG. Case study figures: the named record and case_study_eval/results.json.</t>
  </si>
  <si>
    <t>ID</t>
  </si>
  <si>
    <t>Uncertain input</t>
  </si>
  <si>
    <t>Mission</t>
  </si>
  <si>
    <t>Type</t>
  </si>
  <si>
    <t>How to represent</t>
  </si>
  <si>
    <t>Starting value / prior</t>
  </si>
  <si>
    <t>Reducible by aerial obs?</t>
  </si>
  <si>
    <t>Source</t>
  </si>
  <si>
    <t>U1</t>
  </si>
  <si>
    <t>Rate of spread model error</t>
  </si>
  <si>
    <t>M3, M4</t>
  </si>
  <si>
    <t>Epistemic</t>
  </si>
  <si>
    <t>Residual by fuel group</t>
  </si>
  <si>
    <t>MAPE 47% overall, shrub 26%, timber underpredicts</t>
  </si>
  <si>
    <t>Partly</t>
  </si>
  <si>
    <t>[Cardil et al 2023, pp.6-7]</t>
  </si>
  <si>
    <t>v0.1</t>
  </si>
  <si>
    <t>U2</t>
  </si>
  <si>
    <t>Fuel type map</t>
  </si>
  <si>
    <t>M3</t>
  </si>
  <si>
    <t>Categorical swap probabilities</t>
  </si>
  <si>
    <t>Key driver of ROS bias</t>
  </si>
  <si>
    <t>No</t>
  </si>
  <si>
    <t>[Cardil et al 2023, p.6]</t>
  </si>
  <si>
    <t>U3</t>
  </si>
  <si>
    <t>Wind speed and direction</t>
  </si>
  <si>
    <t>M3, M5</t>
  </si>
  <si>
    <t>Mixed</t>
  </si>
  <si>
    <t>Correlated multivariate perturbation</t>
  </si>
  <si>
    <t>High wind overpredicts ROS, low wind underpredicts</t>
  </si>
  <si>
    <t>Yes (in-situ profiling)</t>
  </si>
  <si>
    <t>[Cardil et al 2023, p.7]; [Pyregence Consortium n.d. GridFire, p.113]</t>
  </si>
  <si>
    <t>U4</t>
  </si>
  <si>
    <t>Fuel moisture</t>
  </si>
  <si>
    <t>Correlated perturbation</t>
  </si>
  <si>
    <t>Smaller contribution than fuel and wind</t>
  </si>
  <si>
    <t>U5</t>
  </si>
  <si>
    <t>Perimeter age at forecast start</t>
  </si>
  <si>
    <t>M1, M3</t>
  </si>
  <si>
    <t>Empirical interval distribution</t>
  </si>
  <si>
    <t>Median / p90 / max gap (h), share over 24 h: Pioneer 18.8 / 30.4 / 140, 26%; Carr 16.9 / 24.4 / 76, 13%; Camp 14.5 / 21.6 / 93, 7%. Literature: VIIRS up to 4 h</t>
  </si>
  <si>
    <t>Yes, directly</t>
  </si>
  <si>
    <t>GeoMAC perimeter histories; [Kochanski et al 2023, p.12]</t>
  </si>
  <si>
    <t>v0.2 updated</t>
  </si>
  <si>
    <t>U6</t>
  </si>
  <si>
    <t>Message delivery success</t>
  </si>
  <si>
    <t>Aleatory</t>
  </si>
  <si>
    <t>Bernoulli per message</t>
  </si>
  <si>
    <t>TFR 100%, OI 87%, telemetry 52%</t>
  </si>
  <si>
    <t>n/a</t>
  </si>
  <si>
    <t>[Wu et al 2025, pp.9-10]</t>
  </si>
  <si>
    <t>U7</t>
  </si>
  <si>
    <t>UAS path deviation from wind</t>
  </si>
  <si>
    <t>M2, M5</t>
  </si>
  <si>
    <t>Transit time distribution</t>
  </si>
  <si>
    <t>Not quantified in library</t>
  </si>
  <si>
    <t>[Keerthinathan et al 2023, p.35]</t>
  </si>
  <si>
    <t>U8</t>
  </si>
  <si>
    <t>Crew egress time</t>
  </si>
  <si>
    <t>Travel-rate model plus PERT check</t>
  </si>
  <si>
    <t>Sullivan 2020; Campbell 2017, 2019 travel rates (research_data)</t>
  </si>
  <si>
    <t>research_data/07_crew_egress; entrapments/</t>
  </si>
  <si>
    <t>v0.1 (source added)</t>
  </si>
  <si>
    <t>U9</t>
  </si>
  <si>
    <t>Notification latency to crew</t>
  </si>
  <si>
    <t>PERT from elicitation + U6</t>
  </si>
  <si>
    <t>Carr: 62 min from aerial warning (18:38) to mayday (19:40); Camp: emergency call unanswered</t>
  </si>
  <si>
    <t>Research_Data_Index, Margin Timing Anchors</t>
  </si>
  <si>
    <t>v0.1 (anchor added)</t>
  </si>
  <si>
    <t>U10</t>
  </si>
  <si>
    <t>Delivery window tolerance</t>
  </si>
  <si>
    <t>M5</t>
  </si>
  <si>
    <t>PERT from elicitation</t>
  </si>
  <si>
    <t>NOT IN LIBRARY</t>
  </si>
  <si>
    <t>Elicit (questionnaire)</t>
  </si>
  <si>
    <t>U11</t>
  </si>
  <si>
    <t>Human factors delay</t>
  </si>
  <si>
    <t>Multiplier on decision times</t>
  </si>
  <si>
    <t>Tempo, saturation, fatigue listed as factors</t>
  </si>
  <si>
    <t>[NWCG 2025, p.21]</t>
  </si>
  <si>
    <t>U12</t>
  </si>
  <si>
    <t>Official size reporting lag</t>
  </si>
  <si>
    <t>Fixed lag of one reporting cycle, with probability of same-day update</t>
  </si>
  <si>
    <t>209 equals previous night's perimeter on 48/56 (Pioneer) and 20/28 (Carr), 4/13 (Camp) changing days; NICC equals previous evening's 209 on Pioneer 71/72, Carr 37/38, Camp 6/10, LNU 28/28</t>
  </si>
  <si>
    <t>Fire Case Studies workbooks (ICS-209-PLUS, NICC IMSR), case_study_eval/results.json</t>
  </si>
  <si>
    <t>v0.2 new</t>
  </si>
  <si>
    <t>U13</t>
  </si>
  <si>
    <t>Blowup-day size shortfall</t>
  </si>
  <si>
    <t>Ratio distribution conditional on growth regime</t>
  </si>
  <si>
    <t>Same-day perimeter / 209: Camp 3.91 (8 Nov, first day, 19 burnovers); Carr 1.55 (26 Jul), 1.68 (27 Jul), 1.14 (28 Jul); Pioneer 1.12 (30 Aug). Satellite / 209: Camp 4.55 (8 Nov); Carr up to 2.27; LNU 2.07 (19 Aug)</t>
  </si>
  <si>
    <t>U14</t>
  </si>
  <si>
    <t>Satellite area bias (FEDS, 375 m)</t>
  </si>
  <si>
    <t>M1</t>
  </si>
  <si>
    <t>Multiplicative bias per fire</t>
  </si>
  <si>
    <t>After growth stopped: Carr +9%, LNU +1.8%; Camp -2.1% (below); LNU late drop to 312,526 unexplained</t>
  </si>
  <si>
    <t>n/a (sensor property)</t>
  </si>
  <si>
    <t>NASA FEDS 12 h perimeters</t>
  </si>
  <si>
    <t>U15</t>
  </si>
  <si>
    <t>Operational size revisions</t>
  </si>
  <si>
    <t>Occasional downward jump</t>
  </si>
  <si>
    <t>LNU 375,209 to 363,220 (-3.2%), better mapping; none on Pioneer, Carr or Camp (Camp fatalities revised 87 to 85)</t>
  </si>
  <si>
    <t>Yes</t>
  </si>
  <si>
    <t>NICC IMSR 2020-09-10 narrative; ICS-209-PLUS CURR_INCIDENT_AREA</t>
  </si>
  <si>
    <t>U16</t>
  </si>
  <si>
    <t>Logistics demand scale</t>
  </si>
  <si>
    <t>Aleatory (incident-driven)</t>
  </si>
  <si>
    <t>Recorded daily crew and helicopter series</t>
  </si>
  <si>
    <t>Pioneer / Carr / Camp / LNU. Median crews 26 / 54 / 86 / 18; peak 53 / 68 / 95 / 39; crews per helicopter median 2.7 / 4.5 / 4.0 / 2.0</t>
  </si>
  <si>
    <t>NICC Daily IMSR sheets</t>
  </si>
  <si>
    <t>U17</t>
  </si>
  <si>
    <t>Start time (ignition / discovery)</t>
  </si>
  <si>
    <t>M2, M3</t>
  </si>
  <si>
    <t>Range per fire; use agency or investigation time</t>
  </si>
  <si>
    <t>Pioneer 0 min without 209, 52 min with 209; Carr 6 min without 209, 111 min with 209; Camp 4 min without 209, 124 min with 209; LNU 120 min without 209, 477 min with 209</t>
  </si>
  <si>
    <t>Yes (first detection)</t>
  </si>
  <si>
    <t>perimeter_eval; supplement Event rows</t>
  </si>
  <si>
    <t>v0.4 new</t>
  </si>
  <si>
    <t>U18</t>
  </si>
  <si>
    <t>Last-known size shortfall vs revisit interval</t>
  </si>
  <si>
    <t>Empirical distribution by cadence (Revisit Curve sheet)</t>
  </si>
  <si>
    <t>Growth phase mean / p90: 2 h 2.6% / 6%; 3 h 5.1% / 16%; 12 h 20% / 62%; 24 h 32% / 86%</t>
  </si>
  <si>
    <t>Yes, directly (drone revisit)</t>
  </si>
  <si>
    <t>GOFER hourly LNU via supplement; perimeter_eval/cadence_curve.csv</t>
  </si>
  <si>
    <t>U19</t>
  </si>
  <si>
    <t>Night observation gap</t>
  </si>
  <si>
    <t>M1, M2, M3</t>
  </si>
  <si>
    <t>Share of growth at night vs share of night observations</t>
  </si>
  <si>
    <t>LNU 37% of growth 20:00 to 06:00; night-stamped aircraft perimeters Pioneer 21%, Carr 10%, Camp 4%</t>
  </si>
  <si>
    <t>Yes (24/7 drones)</t>
  </si>
  <si>
    <t>perimeter_eval; [NASA ACERO ConOps 2026, pp.30-31]</t>
  </si>
  <si>
    <t>U20</t>
  </si>
  <si>
    <t>Archive time-stamp error</t>
  </si>
  <si>
    <t>Validation</t>
  </si>
  <si>
    <t>Flag and exclude; sensitivity run with plus or minus 12 h</t>
  </si>
  <si>
    <t>Carr GeoMAC 23 Jul 11:30 and 13:02 precede 13:09 ignition (likely 12 h clock error)</t>
  </si>
  <si>
    <t>Timestamp Flags sheet</t>
  </si>
  <si>
    <t>U21</t>
  </si>
  <si>
    <t>Drone availability by wind</t>
  </si>
  <si>
    <t>Aleatory (weather)</t>
  </si>
  <si>
    <t>Hourly fly / no-fly from airframe limit vs observed wind</t>
  </si>
  <si>
    <t>Alta X 22 mph; SwitchBlade-Elite 25 mph; Type 1 fixed wing not found (sensitivity 25 to 40 mph). Camp, Pioneer, LNU critical periods exceed small-UAS limits</t>
  </si>
  <si>
    <t>n/a (gates the aerial observation)</t>
  </si>
  <si>
    <t>Week 6 Platform wind table; Week 5 Platform tab; ASOS / ERA5 hourly in research_data</t>
  </si>
  <si>
    <t>v0.5 new</t>
  </si>
  <si>
    <t>U22</t>
  </si>
  <si>
    <t>Time to first drone perimeter</t>
  </si>
  <si>
    <t>Launch + transit + mapping time distribution</t>
  </si>
  <si>
    <t>Type 3: 20 to 60 min flight, 5 mi range; Type 1: VTOL, 50 mi range; elicit launch delay</t>
  </si>
  <si>
    <t>[NWCG 2025, p.5]; elicitation</t>
  </si>
  <si>
    <t>U23</t>
  </si>
  <si>
    <t>Night and BVLOS authorisation</t>
  </si>
  <si>
    <t>Probability approved within the needed time</t>
  </si>
  <si>
    <t>Night flights need a DOI/FAA MOA; NOTAM as soon as practical in initial attack; TFR assumed for DVE work</t>
  </si>
  <si>
    <t>[NWCG 2025, pp.6-7]; [NASA ACERO ConOps 2026, p.8]</t>
  </si>
  <si>
    <t>U24</t>
  </si>
  <si>
    <t>Warning relay success</t>
  </si>
  <si>
    <t>Bernoulli per message by ground node count</t>
  </si>
  <si>
    <t>Telemetry 52% (four ground nodes) to over 90% (three)</t>
  </si>
  <si>
    <t>[Wu et al 2025, pp.9-11]</t>
  </si>
  <si>
    <t>Metric</t>
  </si>
  <si>
    <t>Definition (proposed)</t>
  </si>
  <si>
    <t>Decision use</t>
  </si>
  <si>
    <t>Source for framing</t>
  </si>
  <si>
    <t>Safety margin M</t>
  </si>
  <si>
    <t>T_fire - (T_detect + T_notify + T_egress)</t>
  </si>
  <si>
    <t>Per crew position</t>
  </si>
  <si>
    <t>Proposed; [NWCG 2025, pp.20-21]</t>
  </si>
  <si>
    <t>P(M &lt; 0)</t>
  </si>
  <si>
    <t>Share of ensemble members with negative margin</t>
  </si>
  <si>
    <t>Probability axis of NWCG risk assessment</t>
  </si>
  <si>
    <t>[NWCG 2025, pp.20-21]</t>
  </si>
  <si>
    <t>5th percentile of M</t>
  </si>
  <si>
    <t>Bad-day margin</t>
  </si>
  <si>
    <t>Go / no-go threshold</t>
  </si>
  <si>
    <t>Proposed</t>
  </si>
  <si>
    <t>Warning lead time</t>
  </si>
  <si>
    <t>T_fire - T_notify</t>
  </si>
  <si>
    <t>Value of surveillance</t>
  </si>
  <si>
    <t>Information age at decision</t>
  </si>
  <si>
    <t>Age of newest size or perimeter available to the crew boss</t>
  </si>
  <si>
    <t>Baseline for RQ4</t>
  </si>
  <si>
    <t>Section 4.2; U5, U12</t>
  </si>
  <si>
    <t>Size shortfall ratio</t>
  </si>
  <si>
    <t>Observed (perimeter) size / official size, same day</t>
  </si>
  <si>
    <t>How far behind the official picture is</t>
  </si>
  <si>
    <t>Section 4.3; U13</t>
  </si>
  <si>
    <t>P(on time)</t>
  </si>
  <si>
    <t>Deliveries inside window / total</t>
  </si>
  <si>
    <t>Dependability</t>
  </si>
  <si>
    <t>Proposed; [NASA ACERO ConOps 2026, p.19]</t>
  </si>
  <si>
    <t>Turnaround p50 / p90</t>
  </si>
  <si>
    <t>Sortie cycle time distribution</t>
  </si>
  <si>
    <t>Fleet sizing</t>
  </si>
  <si>
    <t>Crews served per aerial asset</t>
  </si>
  <si>
    <t>Daily crews / delivery aircraft</t>
  </si>
  <si>
    <t>Fleet sizing against real demand</t>
  </si>
  <si>
    <t>P(abort)</t>
  </si>
  <si>
    <t>Sorties cancelled / total</t>
  </si>
  <si>
    <t>Reliability</t>
  </si>
  <si>
    <t>ROS MAE / MBE / MAPE</t>
  </si>
  <si>
    <t>Predicted vs time-matched observed</t>
  </si>
  <si>
    <t>Model skill</t>
  </si>
  <si>
    <t>[Cardil et al 2023, pp.5-6]</t>
  </si>
  <si>
    <t>v0.1 (time-matched in v0.2)</t>
  </si>
  <si>
    <t>Factor</t>
  </si>
  <si>
    <t>Levels</t>
  </si>
  <si>
    <t>Count</t>
  </si>
  <si>
    <t>Fire case</t>
  </si>
  <si>
    <t>Camp 2018; Carr 2018; Pioneer 2016; LNU 2020</t>
  </si>
  <si>
    <t>Case study roles (proposal 4.4, 7)</t>
  </si>
  <si>
    <t>Visibility</t>
  </si>
  <si>
    <t>Day VMC; night DVE; smoke DVE</t>
  </si>
  <si>
    <t>[NASA ACERO ConOps 2026, pp.30-31]</t>
  </si>
  <si>
    <t>Information cadence</t>
  </si>
  <si>
    <t>Official ~24 h lag; aircraft perimeters (median 14 to 19 h); satellite 12 h; drone 6, 3, 2, 1 h</t>
  </si>
  <si>
    <t>Reporting Cadence, Revisit Curve sheets</t>
  </si>
  <si>
    <t>Drone flight availability</t>
  </si>
  <si>
    <t>Day only; 24 h; 24 h with wind limit</t>
  </si>
  <si>
    <t>Proposal 6.2</t>
  </si>
  <si>
    <t>Network success</t>
  </si>
  <si>
    <t>52%; 87%; 95%</t>
  </si>
  <si>
    <t>Model</t>
  </si>
  <si>
    <t>ELMFIRE; GridFire</t>
  </si>
  <si>
    <t>[Altintas 2025, p.8]</t>
  </si>
  <si>
    <t>Total cells (full factorial)</t>
  </si>
  <si>
    <t>Use fractional design first; run Carr 26 Jul and Camp 8 Nov first</t>
  </si>
  <si>
    <t>Component</t>
  </si>
  <si>
    <t>On hand</t>
  </si>
  <si>
    <t>Main risk</t>
  </si>
  <si>
    <t>Verdict</t>
  </si>
  <si>
    <t>Ensemble spread</t>
  </si>
  <si>
    <t>ELMFIRE, GridFire; perimeters for 4 fires</t>
  </si>
  <si>
    <t>Compute; restart support unconfirmed</t>
  </si>
  <si>
    <t>Feasible now</t>
  </si>
  <si>
    <t>Model-error layer</t>
  </si>
  <si>
    <t>Cardil residual metrics</t>
  </si>
  <si>
    <t>California sample</t>
  </si>
  <si>
    <t>Observation-error layer</t>
  </si>
  <si>
    <t>U12 to U15 from this evaluation</t>
  </si>
  <si>
    <t>Four fires; no GeoMAC for LNU</t>
  </si>
  <si>
    <t>Data assimilation</t>
  </si>
  <si>
    <t>Perimeter histories at observed cadence</t>
  </si>
  <si>
    <t>Engineering effort</t>
  </si>
  <si>
    <t>Feasible, higher effort</t>
  </si>
  <si>
    <t>Logistics DES</t>
  </si>
  <si>
    <t>NICC daily crews and helicopters; PAMS priors</t>
  </si>
  <si>
    <t>No flown delivery data</t>
  </si>
  <si>
    <t>Feasible with elicited priors</t>
  </si>
  <si>
    <t>Validation of P(M&lt;0)</t>
  </si>
  <si>
    <t>Camp burnovers; Carr warning and mayday</t>
  </si>
  <si>
    <t>Two timed events</t>
  </si>
  <si>
    <t>Feasible, thin</t>
  </si>
  <si>
    <t>Archive quality</t>
  </si>
  <si>
    <t>Data Quality sheet</t>
  </si>
  <si>
    <t>Silent errors in cleaned fields</t>
  </si>
  <si>
    <t>Fix database first</t>
  </si>
  <si>
    <t>Fire</t>
  </si>
  <si>
    <t>Measure</t>
  </si>
  <si>
    <t>Value</t>
  </si>
  <si>
    <t>Record</t>
  </si>
  <si>
    <t>Pioneer 2016</t>
  </si>
  <si>
    <t>ICS-209 reports / median interval (h) / gaps over 24 h</t>
  </si>
  <si>
    <t>81 / 24.0 / 7</t>
  </si>
  <si>
    <t>ICS-209-PLUS</t>
  </si>
  <si>
    <t>Longest 209 gap (h, from, to)</t>
  </si>
  <si>
    <t>169.0 / 2016-10-06 17:00:00 / 2016-10-13 18:00:00</t>
  </si>
  <si>
    <t>NICC reports listing the fire</t>
  </si>
  <si>
    <t>NICC IMSR</t>
  </si>
  <si>
    <t>Final size, all sources</t>
  </si>
  <si>
    <t>ICS-209 final: 188,404; NICC IMSR last listed: 188,404; GeoMAC last perimeter: 188,495; Perimeter: NIFC final perimeter: 188,404</t>
  </si>
  <si>
    <t>see sheet Size Reconciliation</t>
  </si>
  <si>
    <t>Peak as-reported vs cleaned 209 size</t>
  </si>
  <si>
    <t>188,404 vs 188,404</t>
  </si>
  <si>
    <t>ICS-209-PLUS CURR_INCIDENT_AREA vs ACRES</t>
  </si>
  <si>
    <t>Top 3 growth days (acres)</t>
  </si>
  <si>
    <t>2016-08-30: 29,176; 2016-08-31: 16,613; 2016-09-02: 15,082</t>
  </si>
  <si>
    <t>Personnel median / peak; personnel-days (NICC)</t>
  </si>
  <si>
    <t>1,065 / 2,065; 79,758</t>
  </si>
  <si>
    <t>Helicopters median / peak; helicopter-days</t>
  </si>
  <si>
    <t>9 / 14; 634</t>
  </si>
  <si>
    <t>Cost to date at last NICC listing ($)</t>
  </si>
  <si>
    <t>96,000,000</t>
  </si>
  <si>
    <t>Carr 2018</t>
  </si>
  <si>
    <t>79 / 12.0 / 1</t>
  </si>
  <si>
    <t>26.0 / 2018-08-25 17:00:00 / 2018-08-26 19:00:00</t>
  </si>
  <si>
    <t>ICS-209 final: 229,651; NICC IMSR last listed: 229,651; GeoMAC last perimeter: 229,651; NASA FEDS last overpass: 249,434; Perimeter: USFS / USFS: 229,475; Perimeter: CDF / CALFIRE: 229,651; Perimeter: BLM / BLM: 229,650; Perimeter: NPS / NPS: 229,686</t>
  </si>
  <si>
    <t>229,651 vs 229,651</t>
  </si>
  <si>
    <t>2018-07-28: 35,488; 2018-07-26: 21,990; 2018-07-27: 19,549</t>
  </si>
  <si>
    <t>3,388 / 4,766; 113,087</t>
  </si>
  <si>
    <t>12 / 17; 395</t>
  </si>
  <si>
    <t>158,000,000</t>
  </si>
  <si>
    <t>Camp 2018</t>
  </si>
  <si>
    <t>38 / 12.0 / 0</t>
  </si>
  <si>
    <t>14.5 / 2018-11-22 17:15:00 / 2018-11-23 07:45:00</t>
  </si>
  <si>
    <t>ICS-209 final: 153,336; NICC IMSR last listed: 153,336; GeoMAC last perimeter: 153,336; NASA FEDS last overpass: 150,087; Perimeter: CDF / CALFIRE: 153,336; Perimeter: BLM / BLM: 153,335</t>
  </si>
  <si>
    <t>153,336 vs 153,336</t>
  </si>
  <si>
    <t>2018-11-09: 72,000; 2018-11-10: 15,000; 2018-11-13: 13,000</t>
  </si>
  <si>
    <t>4,736 / 5,615; 44,941</t>
  </si>
  <si>
    <t>21 / 28; 193</t>
  </si>
  <si>
    <t>102,800,000</t>
  </si>
  <si>
    <t>LNU 2020</t>
  </si>
  <si>
    <t>61 / 11.8 / 2</t>
  </si>
  <si>
    <t>338.0 / 2020-09-16 19:30:00 / 2020-09-30 21:30:00</t>
  </si>
  <si>
    <t>ICS-209 final: 363,220; NICC IMSR last listed: 363,220; NASA FEDS last overpass: 312,526; Perimeter: TOTAL (3 fires): 362,921</t>
  </si>
  <si>
    <t>375,209 vs 363,220</t>
  </si>
  <si>
    <t>2020-08-20: 90,900; 2020-08-21: 87,388; 2020-08-22: 22,740</t>
  </si>
  <si>
    <t>1,573 / 2,839; 46,869</t>
  </si>
  <si>
    <t>8 / 19; 273</t>
  </si>
  <si>
    <t>94,600,000</t>
  </si>
  <si>
    <t>Date (local)</t>
  </si>
  <si>
    <t>ICS-209 last (as reported)</t>
  </si>
  <si>
    <t>NICC next morning</t>
  </si>
  <si>
    <t>GeoMAC last perimeter</t>
  </si>
  <si>
    <t>FEDS last overpass</t>
  </si>
  <si>
    <t>GeoMAC / 209</t>
  </si>
  <si>
    <t>FEDS / 209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</si>
  <si>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</si>
  <si>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</si>
  <si>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</si>
  <si>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</si>
  <si>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</si>
  <si>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</si>
  <si>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</si>
  <si>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</si>
  <si>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</si>
  <si>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</si>
  <si>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</si>
  <si>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</si>
  <si>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</si>
  <si>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</si>
  <si>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</si>
  <si>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</si>
  <si>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</si>
  <si>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</si>
  <si>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</si>
  <si>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</si>
  <si>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</si>
  <si>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</si>
  <si>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</si>
  <si>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</si>
  <si>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</si>
  <si>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</si>
  <si>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</si>
  <si>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</si>
  <si>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</si>
  <si>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</si>
  <si>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</si>
  <si>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</si>
  <si>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</si>
  <si>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</si>
  <si>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</si>
  <si>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</si>
  <si>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</si>
  <si>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</si>
  <si>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</si>
  <si>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</si>
  <si>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</si>
  <si>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</si>
  <si>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</si>
  <si>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</si>
  <si>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</si>
  <si>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</si>
  <si>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</si>
  <si>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</si>
  <si>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</si>
  <si>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</si>
  <si>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</si>
  <si>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</si>
  <si>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</si>
  <si>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</si>
  <si>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</si>
  <si>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</si>
  <si>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</si>
  <si>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</si>
  <si>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</si>
  <si>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</si>
  <si>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</si>
  <si>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</si>
  <si>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</si>
  <si>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</si>
  <si>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</si>
  <si>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</si>
  <si>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</si>
  <si>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</si>
  <si>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</si>
  <si>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</si>
  <si>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</si>
  <si>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</si>
  <si>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</si>
  <si>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2016-10-06</t>
  </si>
  <si>
    <t>2016-10-13</t>
  </si>
  <si>
    <t>2016-10-20</t>
  </si>
  <si>
    <t>2016-10-27</t>
  </si>
  <si>
    <t>2016-11-03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</si>
  <si>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</si>
  <si>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</si>
  <si>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</si>
  <si>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</si>
  <si>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</si>
  <si>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</si>
  <si>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</si>
  <si>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</si>
  <si>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</si>
  <si>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</si>
  <si>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</si>
  <si>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</si>
  <si>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</si>
  <si>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</si>
  <si>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</si>
  <si>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</si>
  <si>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</si>
  <si>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</si>
  <si>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</si>
  <si>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</si>
  <si>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</si>
  <si>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</si>
  <si>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</si>
  <si>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</si>
  <si>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</si>
  <si>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</si>
  <si>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</si>
  <si>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</si>
  <si>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</si>
  <si>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</si>
  <si>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</si>
  <si>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</si>
  <si>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</si>
  <si>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</si>
  <si>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</si>
  <si>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</si>
  <si>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</si>
  <si>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</si>
  <si>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</si>
  <si>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</si>
  <si>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</si>
  <si>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</si>
  <si>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</si>
  <si>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</si>
  <si>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</si>
  <si>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</si>
  <si>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</si>
  <si>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</si>
  <si>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</si>
  <si>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</si>
  <si>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</si>
  <si>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</si>
  <si>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</si>
  <si>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</si>
  <si>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</si>
  <si>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</si>
  <si>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</si>
  <si>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</si>
  <si>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</si>
  <si>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</si>
  <si>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</si>
  <si>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</si>
  <si>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</si>
  <si>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</si>
  <si>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</si>
  <si>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</si>
  <si>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</si>
  <si>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</si>
  <si>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</si>
  <si>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</si>
  <si>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</si>
  <si>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</si>
  <si>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</si>
  <si>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</si>
  <si>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</si>
  <si>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</si>
  <si>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</si>
  <si>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</si>
  <si>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</si>
  <si>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</si>
  <si>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</si>
  <si>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</si>
  <si>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</si>
  <si>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</si>
  <si>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</si>
  <si>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</si>
  <si>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</si>
  <si>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</si>
  <si>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</si>
  <si>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</si>
  <si>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</si>
  <si>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</si>
  <si>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</si>
  <si>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</si>
  <si>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</si>
  <si>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</si>
  <si>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</si>
  <si>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</si>
  <si>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</si>
  <si>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</si>
  <si>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</si>
  <si>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</si>
  <si>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</si>
  <si>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</si>
  <si>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2020-09-30</t>
  </si>
  <si>
    <t>2020-10-01</t>
  </si>
  <si>
    <t>Intervals (n)</t>
  </si>
  <si>
    <t>Median interval (h)</t>
  </si>
  <si>
    <t>p90 interval (h)</t>
  </si>
  <si>
    <t>Max interval (h)</t>
  </si>
  <si>
    <t>ICS-209</t>
  </si>
  <si>
    <t>GeoMAC perimeters</t>
  </si>
  <si>
    <t>NASA FEDS (VIIRS)</t>
  </si>
  <si>
    <t>Latency chain</t>
  </si>
  <si>
    <t>Days 209 changed</t>
  </si>
  <si>
    <t>209 = previous night's perimeter</t>
  </si>
  <si>
    <t>209 = same-day perimeter</t>
  </si>
  <si>
    <t>Days NICC compared</t>
  </si>
  <si>
    <t>NICC = previous evening's 209</t>
  </si>
  <si>
    <t>NICC = same-day 209</t>
  </si>
  <si>
    <t>Match = within 0.5% for perimeters, exact for NICC. LNU has no GeoMAC history.</t>
  </si>
  <si>
    <t>Date</t>
  </si>
  <si>
    <t>ICS-209 acres</t>
  </si>
  <si>
    <t>Same-day perimeter</t>
  </si>
  <si>
    <t>Same-day FEDS</t>
  </si>
  <si>
    <t>Perimeter / 209</t>
  </si>
  <si>
    <t>Camp 8 Nov 2018: first day; the 19 NIST burnovers began at 07:50 that morning (Research_Data_Index, Camp Burnovers).</t>
  </si>
  <si>
    <t>Carr 26 Jul 2018: fatal burnovers that evening; aerial warning 18:38, mayday 19:40 (Research_Data_Index, Margin Timing Anchors). FEDS includes pixel bias (U14); the perimeter ratio is the conservative measure.</t>
  </si>
  <si>
    <t>Growth (acres)</t>
  </si>
  <si>
    <t>Growth / previous size</t>
  </si>
  <si>
    <t>NICC report date</t>
  </si>
  <si>
    <t>Personnel</t>
  </si>
  <si>
    <t>Crews</t>
  </si>
  <si>
    <t>Engines</t>
  </si>
  <si>
    <t>Helicopters</t>
  </si>
  <si>
    <t>Cost to date ($)</t>
  </si>
  <si>
    <t>% contained</t>
  </si>
  <si>
    <t>2016-09-30</t>
  </si>
  <si>
    <t>2016-10-07</t>
  </si>
  <si>
    <t>Gap start</t>
  </si>
  <si>
    <t>Gap end</t>
  </si>
  <si>
    <t>Hours</t>
  </si>
  <si>
    <t>Acres at start</t>
  </si>
  <si>
    <t>Acres at end</t>
  </si>
  <si>
    <t>Growth in gap</t>
  </si>
  <si>
    <t>Satellite obs inside</t>
  </si>
  <si>
    <t>Reports inside</t>
  </si>
  <si>
    <t>Crew hazard inside</t>
  </si>
  <si>
    <t>Documented events inside (supplement)</t>
  </si>
  <si>
    <t>mapped (aircraft / GeoMAC)</t>
  </si>
  <si>
    <t>2018-07-25 19:38:00</t>
  </si>
  <si>
    <t>2018-07-26 14:00:00</t>
  </si>
  <si>
    <t>25 Jul 20:00 NPS timeline, p. 1; CAL FIRE Green Sheet, p. 3: New: Rapid growth began around 20:00; a Whiskey Creek fire whirl was reported near 22:00 and the park closed a</t>
  </si>
  <si>
    <t>2018-11-08 16:00:00</t>
  </si>
  <si>
    <t>2018-11-09 11:02:00</t>
  </si>
  <si>
    <t>19 NIST burnovers</t>
  </si>
  <si>
    <t>2016-08-28 18:00:00</t>
  </si>
  <si>
    <t>2016-08-29 18:16:00</t>
  </si>
  <si>
    <t>2018-07-27 00:00:00</t>
  </si>
  <si>
    <t>2018-07-27 15:45:00</t>
  </si>
  <si>
    <t>2016-08-30 13:51:00</t>
  </si>
  <si>
    <t>2018-11-12 18:53:00</t>
  </si>
  <si>
    <t>2018-11-13 09:50:00</t>
  </si>
  <si>
    <t>2016-08-31 20:06:00</t>
  </si>
  <si>
    <t>2016-09-01 13:47:00</t>
  </si>
  <si>
    <t>2018-08-02 16:41:00</t>
  </si>
  <si>
    <t>2018-08-03 15:00:00</t>
  </si>
  <si>
    <t>2018-11-10 13:10:00</t>
  </si>
  <si>
    <t>2018-11-11 10:48:00</t>
  </si>
  <si>
    <t>2018-11-13 18:58:00</t>
  </si>
  <si>
    <t>2018-11-14 13:39:00</t>
  </si>
  <si>
    <t>2016-07-30 16:47:00</t>
  </si>
  <si>
    <t>2016-07-31 17:00:00</t>
  </si>
  <si>
    <t>2018-07-29 16:58:00</t>
  </si>
  <si>
    <t>2018-07-30 14:35:00</t>
  </si>
  <si>
    <t>2018-11-14 19:13:00</t>
  </si>
  <si>
    <t>2018-11-15 09:43:00</t>
  </si>
  <si>
    <t>2016-07-29 18:10:00</t>
  </si>
  <si>
    <t>2018-07-27 19:45:00</t>
  </si>
  <si>
    <t>2018-07-28 16:00:00</t>
  </si>
  <si>
    <t>2018-08-01 16:11:00</t>
  </si>
  <si>
    <t>2018-08-02 13:45:00</t>
  </si>
  <si>
    <t>2018-11-11 16:31:00</t>
  </si>
  <si>
    <t>2018-11-12 14:05:00</t>
  </si>
  <si>
    <t>2016-08-20 19:16:00</t>
  </si>
  <si>
    <t>2016-08-21 14:14:00</t>
  </si>
  <si>
    <t>2016-08-02 00:30:00</t>
  </si>
  <si>
    <t>2016-08-02 20:27:00</t>
  </si>
  <si>
    <t>2016-08-04 13:16:00</t>
  </si>
  <si>
    <t>2016-08-05 19:54:00</t>
  </si>
  <si>
    <t>2018-07-31 17:15:00</t>
  </si>
  <si>
    <t>2018-08-01 15:45:00</t>
  </si>
  <si>
    <t>2016-08-17 14:22:00</t>
  </si>
  <si>
    <t>2016-08-18 20:03:00</t>
  </si>
  <si>
    <t>2016-07-26 00:00:00</t>
  </si>
  <si>
    <t>2016-07-26 19:59:00</t>
  </si>
  <si>
    <t>2018-08-04 16:58:00</t>
  </si>
  <si>
    <t>2018-08-05 14:11:00</t>
  </si>
  <si>
    <t>2016-08-11 18:00:00</t>
  </si>
  <si>
    <t>2016-08-13 16:04:00</t>
  </si>
  <si>
    <t>2018-08-03 15:17:00</t>
  </si>
  <si>
    <t>2018-08-04 15:30:00</t>
  </si>
  <si>
    <t>2016-08-26 14:02:00</t>
  </si>
  <si>
    <t>2016-08-27 19:10:00</t>
  </si>
  <si>
    <t>2018-07-24 15:20:00</t>
  </si>
  <si>
    <t>2018-07-25 07:45:00</t>
  </si>
  <si>
    <t xml:space="preserve">24 Jul 19:00 National Park Service Carr timeline, p. 1: New: Around 19:00, fire breached the dozer line near Merry Mountain and spread into Grizzly Gulch and Whiskey </t>
  </si>
  <si>
    <t>2016-08-14 19:58:00</t>
  </si>
  <si>
    <t>2016-08-15 14:32:00</t>
  </si>
  <si>
    <t>2018-08-05 14:30:00</t>
  </si>
  <si>
    <t>2018-08-06 15:00:00</t>
  </si>
  <si>
    <t>2016-08-16 00:30:00</t>
  </si>
  <si>
    <t>2016-08-16 20:16:00</t>
  </si>
  <si>
    <t>2016-07-27 19:23:00</t>
  </si>
  <si>
    <t>2016-07-28 16:46:00</t>
  </si>
  <si>
    <t>2018-11-09 17:04:00</t>
  </si>
  <si>
    <t>2016-08-06 18:33:00</t>
  </si>
  <si>
    <t>2018-08-08 16:47:00</t>
  </si>
  <si>
    <t>2018-08-09 15:00:00</t>
  </si>
  <si>
    <t>2018-08-09 17:14:00</t>
  </si>
  <si>
    <t>2018-08-10 13:30:00</t>
  </si>
  <si>
    <t>2018-08-18 14:00:00</t>
  </si>
  <si>
    <t>2018-08-19 14:00:00</t>
  </si>
  <si>
    <t xml:space="preserve">19 Aug 00:00 National Park Service Carr timeline, p. 2: New: Whiskeytown shifted to recovery on 19 August while the wider fire was 83% contained. Add a park-recovery </t>
  </si>
  <si>
    <t>2016-08-07 16:45:00</t>
  </si>
  <si>
    <t>2018-11-16 17:37:00</t>
  </si>
  <si>
    <t>2018-11-17 10:40:00</t>
  </si>
  <si>
    <t>2016-08-28 16:53:00</t>
  </si>
  <si>
    <t>2016-09-14 19:31:00</t>
  </si>
  <si>
    <t>2016-09-15 14:32:00</t>
  </si>
  <si>
    <t>2018-11-19 14:48:00</t>
  </si>
  <si>
    <t>2018-11-20 10:08:00</t>
  </si>
  <si>
    <t>2016-09-12 14:49:00</t>
  </si>
  <si>
    <t>2016-09-13 16:28:00</t>
  </si>
  <si>
    <t>2018-07-28 16:21:00</t>
  </si>
  <si>
    <t>2018-07-29 15:50:00</t>
  </si>
  <si>
    <t>2016-08-19 14:12:00</t>
  </si>
  <si>
    <t>2016-08-10 17:08:00</t>
  </si>
  <si>
    <t>2016-08-11 15:19:00</t>
  </si>
  <si>
    <t>2016-07-20 02:00:00</t>
  </si>
  <si>
    <t>2016-07-21 14:30:00</t>
  </si>
  <si>
    <t>2016-08-24 18:17:00</t>
  </si>
  <si>
    <t>2016-08-25 17:27:00</t>
  </si>
  <si>
    <t>2018-07-30 22:16:00</t>
  </si>
  <si>
    <t>2018-07-31 15:40:00</t>
  </si>
  <si>
    <t>2016-08-25 18:32:00</t>
  </si>
  <si>
    <t>2018-08-07 16:59:00</t>
  </si>
  <si>
    <t>2018-08-08 15:45:00</t>
  </si>
  <si>
    <t>2018-08-11 16:28:00</t>
  </si>
  <si>
    <t>2018-08-12 13:45:00</t>
  </si>
  <si>
    <t>2018-11-18 14:20:00</t>
  </si>
  <si>
    <t>2018-11-19 10:44:00</t>
  </si>
  <si>
    <t>2016-07-22 17:01:00</t>
  </si>
  <si>
    <t>2016-08-08 20:11:00</t>
  </si>
  <si>
    <t>2016-09-07 17:20:00</t>
  </si>
  <si>
    <t>2016-09-08 17:11:00</t>
  </si>
  <si>
    <t>2016-09-08 17:20:00</t>
  </si>
  <si>
    <t>2016-09-09 17:11:00</t>
  </si>
  <si>
    <t>2016-09-02 04:52:00</t>
  </si>
  <si>
    <t>2016-09-02 20:50:00</t>
  </si>
  <si>
    <t>2016-09-09 19:00:00</t>
  </si>
  <si>
    <t>2016-09-10 18:18:00</t>
  </si>
  <si>
    <t>2018-11-17 15:53:00</t>
  </si>
  <si>
    <t>2018-11-18 09:45:00</t>
  </si>
  <si>
    <t>2016-08-23 18:00:00</t>
  </si>
  <si>
    <t>2016-08-24 16:58:00</t>
  </si>
  <si>
    <t>2016-07-25 00:00:00</t>
  </si>
  <si>
    <t>2016-07-25 13:18:00</t>
  </si>
  <si>
    <t>2018-11-20 12:05:00</t>
  </si>
  <si>
    <t>2018-11-21 13:05:00</t>
  </si>
  <si>
    <t>2016-07-23 15:46:00</t>
  </si>
  <si>
    <t>2016-07-24 20:13:00</t>
  </si>
  <si>
    <t>2016-08-09 14:54:00</t>
  </si>
  <si>
    <t>2018-08-16 18:48:00</t>
  </si>
  <si>
    <t>2018-08-17 14:00:00</t>
  </si>
  <si>
    <t>2018-08-12 16:55:00</t>
  </si>
  <si>
    <t>2018-08-13 13:00:00</t>
  </si>
  <si>
    <t>2018-08-10 16:16:00</t>
  </si>
  <si>
    <t>2018-08-11 14:00:00</t>
  </si>
  <si>
    <t>2016-07-19 07:00:00</t>
  </si>
  <si>
    <t>2018-08-06 17:39:00</t>
  </si>
  <si>
    <t>2018-08-07 13:00:00</t>
  </si>
  <si>
    <t>2016-09-04 19:35:00</t>
  </si>
  <si>
    <t>2016-09-05 14:18:00</t>
  </si>
  <si>
    <t>2016-09-03 14:38:00</t>
  </si>
  <si>
    <t>12 Sep 00:00 Jenner / NASA 2016, report dated 12 Sep, p. 2: New: Reports 185,895 acres on 12 September. Add a reported-area point and compare with the archive's 184,455.9</t>
  </si>
  <si>
    <t>2016-09-05 19:19:00</t>
  </si>
  <si>
    <t>2016-09-07 14:19:00</t>
  </si>
  <si>
    <t>06 Sep 00:00 USFS Pioneer Fire Inquiry 2016, PDF pp. 4, 8 to 12: New: Describes prior burn scars near Lowman, Rabbit Creek and Trapper Ridge, and a proposed Burns Ridge line r</t>
  </si>
  <si>
    <t>2016-08-22 12:30:00</t>
  </si>
  <si>
    <t>2018-08-13 16:52:00</t>
  </si>
  <si>
    <t>2018-08-14 13:30:00</t>
  </si>
  <si>
    <t>2018-08-15 14:00:00</t>
  </si>
  <si>
    <t>2018-08-16 13:00:00</t>
  </si>
  <si>
    <t>2018-08-17 16:10:00</t>
  </si>
  <si>
    <t>2016-08-03 11:30:00</t>
  </si>
  <si>
    <t>2016-07-31 17:03:00</t>
  </si>
  <si>
    <t>2016-08-01 08:30:00</t>
  </si>
  <si>
    <t>01 Aug 00:00 Yellow Pine Times / agency update, 1 Aug 2016: New: Reports 38,072 acres and 30% containment; describes burnout along Sunset Lookout Road. Add a reported-are</t>
  </si>
  <si>
    <t>2016-09-14 00:50:00</t>
  </si>
  <si>
    <t>2016-09-14 18:00:00</t>
  </si>
  <si>
    <t>2016-09-24 14:15:00</t>
  </si>
  <si>
    <t>2016-09-26 19:49:00</t>
  </si>
  <si>
    <t>2016-09-28 14:43:00</t>
  </si>
  <si>
    <t>2018-08-20 14:24:00</t>
  </si>
  <si>
    <t>2018-08-22 13:55:00</t>
  </si>
  <si>
    <t>2018-08-25 18:02:00</t>
  </si>
  <si>
    <t>2018-08-27 17:00:00</t>
  </si>
  <si>
    <t>2018-08-29 04:00:00</t>
  </si>
  <si>
    <t>2018-08-30 05:12:00</t>
  </si>
  <si>
    <t>2018-08-31 00:54:00</t>
  </si>
  <si>
    <t>30 Aug 09:37 CAL FIRE Carr incident webpage: New: Lists full containment on 30 August at 09:37 and final area of 229,651 acres. Add the containment marker;</t>
  </si>
  <si>
    <t>2018-11-25 10:22:00</t>
  </si>
  <si>
    <t>2018-08-14 15:35:00</t>
  </si>
  <si>
    <t>2016-09-16 00:30:00</t>
  </si>
  <si>
    <t>2016-09-16 17:07:00</t>
  </si>
  <si>
    <t>2016-09-17 00:30:00</t>
  </si>
  <si>
    <t>2016-09-18 15:13:00</t>
  </si>
  <si>
    <t>2016-09-18 18:00:00</t>
  </si>
  <si>
    <t>2018-11-16 04:51:00</t>
  </si>
  <si>
    <t>fire</t>
  </si>
  <si>
    <t>hazard</t>
  </si>
  <si>
    <t>hazard_start</t>
  </si>
  <si>
    <t>hours_since_ignition</t>
  </si>
  <si>
    <t>mapped (aircraft / GeoMAC): newest before</t>
  </si>
  <si>
    <t>mapped (aircraft / GeoMAC): age h</t>
  </si>
  <si>
    <t>mapped (aircraft / GeoMAC): size then</t>
  </si>
  <si>
    <t>mapped (aircraft / GeoMAC): next after</t>
  </si>
  <si>
    <t>mapped (aircraft / GeoMAC): size next</t>
  </si>
  <si>
    <t>satellite (GOFER or FEDS): newest before</t>
  </si>
  <si>
    <t>satellite (GOFER or FEDS): age h</t>
  </si>
  <si>
    <t>satellite (GOFER or FEDS): size then</t>
  </si>
  <si>
    <t>satellite (GOFER or FEDS): next after</t>
  </si>
  <si>
    <t>satellite (GOFER or FEDS): size next</t>
  </si>
  <si>
    <t>incident report (ICS-209): newest before</t>
  </si>
  <si>
    <t>incident report (ICS-209): age h</t>
  </si>
  <si>
    <t>incident report (ICS-209): size then</t>
  </si>
  <si>
    <t>incident report (ICS-209): next after</t>
  </si>
  <si>
    <t>incident report (ICS-209): size next</t>
  </si>
  <si>
    <t>Dozer burnover, fire whirl, 18:38 aerial warning, 19:40 mayday</t>
  </si>
  <si>
    <t>2018-07-26 17:30:00</t>
  </si>
  <si>
    <t>76.35</t>
  </si>
  <si>
    <t>3.5</t>
  </si>
  <si>
    <t>48237</t>
  </si>
  <si>
    <t>2018-07-26 17:34:00</t>
  </si>
  <si>
    <t>44484</t>
  </si>
  <si>
    <t>2018-07-26 17:00:00</t>
  </si>
  <si>
    <t>0.5</t>
  </si>
  <si>
    <t>57659</t>
  </si>
  <si>
    <t>2018-07-27 05:00:00</t>
  </si>
  <si>
    <t>60416</t>
  </si>
  <si>
    <t>2018-07-26 07:00:00</t>
  </si>
  <si>
    <t>10.5</t>
  </si>
  <si>
    <t>20000</t>
  </si>
  <si>
    <t>2018-07-26 19:45:00</t>
  </si>
  <si>
    <t>28763</t>
  </si>
  <si>
    <t>2018-11-08 07:50:00</t>
  </si>
  <si>
    <t>1.42</t>
  </si>
  <si>
    <t>none since ignition</t>
  </si>
  <si>
    <t>0</t>
  </si>
  <si>
    <t>2018-11-08 09:54:00</t>
  </si>
  <si>
    <t>54586</t>
  </si>
  <si>
    <t>81810</t>
  </si>
  <si>
    <t>2018-11-08 18:30:00</t>
  </si>
  <si>
    <t>16000</t>
  </si>
  <si>
    <t>Rattlesnake Flats hand crew burnover</t>
  </si>
  <si>
    <t>2018-11-08 14:15:00</t>
  </si>
  <si>
    <t>7.83</t>
  </si>
  <si>
    <t>4.35</t>
  </si>
  <si>
    <t>70454</t>
  </si>
  <si>
    <t>Revisit interval (h)</t>
  </si>
  <si>
    <t>Window</t>
  </si>
  <si>
    <t>Mean shortfall (acres)</t>
  </si>
  <si>
    <t>p90 (acres)</t>
  </si>
  <si>
    <t>Max (acres)</t>
  </si>
  <si>
    <t>Mean (%)</t>
  </si>
  <si>
    <t>p90 (%)</t>
  </si>
  <si>
    <t>Max (%)</t>
  </si>
  <si>
    <t>whole record 17 to 28 Aug</t>
  </si>
  <si>
    <t>growth phase 17 to 21 Aug</t>
  </si>
  <si>
    <t>Reference: GOFER hourly GOES reconstruction for LNU 2020, 17 Aug 09:00 to 28 Aug 14:00 (perimeter data supplement). Shortfall = reference size minus last-known size at that revisit interval, over all starting offsets. Temporal sampling error only.</t>
  </si>
  <si>
    <t>Previous obs</t>
  </si>
  <si>
    <t>Next obs</t>
  </si>
  <si>
    <t>Growth as % of next</t>
  </si>
  <si>
    <t>2016-07-25 16:10:00</t>
  </si>
  <si>
    <t>2016-07-27 07:42:00</t>
  </si>
  <si>
    <t>2016-08-01 15:21:00</t>
  </si>
  <si>
    <t>2016-08-03 20:48:00</t>
  </si>
  <si>
    <t>2016-08-04 05:00:00</t>
  </si>
  <si>
    <t>2016-08-22 20:19:00</t>
  </si>
  <si>
    <t>2016-08-23 07:00:00</t>
  </si>
  <si>
    <t>2016-09-13 16:30:00</t>
  </si>
  <si>
    <t>2016-09-28 18:00:00</t>
  </si>
  <si>
    <t>incident report (ICS-209)</t>
  </si>
  <si>
    <t>2016-07-19 00:45:00</t>
  </si>
  <si>
    <t>2016-07-19 22:00:00</t>
  </si>
  <si>
    <t>2016-07-20 20:00:00</t>
  </si>
  <si>
    <t>2016-07-21 16:00:00</t>
  </si>
  <si>
    <t>2016-07-22 19:00:00</t>
  </si>
  <si>
    <t>2016-07-23 19:00:00</t>
  </si>
  <si>
    <t>2016-07-24 19:00:00</t>
  </si>
  <si>
    <t>2016-07-25 19:00:00</t>
  </si>
  <si>
    <t>2016-07-26 19:00:00</t>
  </si>
  <si>
    <t>2016-07-27 19:00:00</t>
  </si>
  <si>
    <t>2016-07-28 19:00:00</t>
  </si>
  <si>
    <t>2016-07-29 19:00:00</t>
  </si>
  <si>
    <t>2016-07-30 19:00:00</t>
  </si>
  <si>
    <t>2016-07-31 19:00:00</t>
  </si>
  <si>
    <t>2016-08-01 19:00:00</t>
  </si>
  <si>
    <t>2016-08-02 19:00:00</t>
  </si>
  <si>
    <t>2016-08-03 19:00:00</t>
  </si>
  <si>
    <t>2016-08-04 19:00:00</t>
  </si>
  <si>
    <t>2016-08-05 19:00:00</t>
  </si>
  <si>
    <t>2016-08-06 19:00:00</t>
  </si>
  <si>
    <t>2016-08-07 19:00:00</t>
  </si>
  <si>
    <t>2016-08-08 19:00:00</t>
  </si>
  <si>
    <t>2016-08-09 19:00:00</t>
  </si>
  <si>
    <t>2016-08-10 19:00:00</t>
  </si>
  <si>
    <t>2016-08-11 19:00:00</t>
  </si>
  <si>
    <t>2016-08-12 19:00:00</t>
  </si>
  <si>
    <t>2016-08-13 19:00:00</t>
  </si>
  <si>
    <t>2016-08-14 19:00:00</t>
  </si>
  <si>
    <t>2016-08-15 19:00:00</t>
  </si>
  <si>
    <t>2016-08-16 19:00:00</t>
  </si>
  <si>
    <t>2016-08-17 19:00:00</t>
  </si>
  <si>
    <t>2016-08-18 19:00:00</t>
  </si>
  <si>
    <t>2016-08-19 19:00:00</t>
  </si>
  <si>
    <t>2016-08-20 19:00:00</t>
  </si>
  <si>
    <t>2016-08-21 19:00:00</t>
  </si>
  <si>
    <t>2016-08-22 19:00:00</t>
  </si>
  <si>
    <t>2016-08-23 19:00:00</t>
  </si>
  <si>
    <t>2016-08-24 19:00:00</t>
  </si>
  <si>
    <t>2016-08-25 19:00:00</t>
  </si>
  <si>
    <t>2016-08-26 19:00:00</t>
  </si>
  <si>
    <t>2016-08-27 19:00:00</t>
  </si>
  <si>
    <t>2016-08-28 19:00:00</t>
  </si>
  <si>
    <t>2016-08-29 19:00:00</t>
  </si>
  <si>
    <t>2016-08-30 19:00:00</t>
  </si>
  <si>
    <t>2016-08-31 19:00:00</t>
  </si>
  <si>
    <t>2016-09-01 19:00:00</t>
  </si>
  <si>
    <t>2016-09-02 19:00:00</t>
  </si>
  <si>
    <t>2016-09-03 19:00:00</t>
  </si>
  <si>
    <t>2016-09-04 19:00:00</t>
  </si>
  <si>
    <t>2016-09-05 19:00:00</t>
  </si>
  <si>
    <t>2016-09-06 19:00:00</t>
  </si>
  <si>
    <t>2016-09-07 19:00:00</t>
  </si>
  <si>
    <t>2016-09-08 19:00:00</t>
  </si>
  <si>
    <t>2016-09-10 19:00:00</t>
  </si>
  <si>
    <t>2016-09-11 19:00:00</t>
  </si>
  <si>
    <t>2016-09-12 19:00:00</t>
  </si>
  <si>
    <t>2016-09-13 19:00:00</t>
  </si>
  <si>
    <t>2016-09-14 19:00:00</t>
  </si>
  <si>
    <t>2016-09-15 19:00:00</t>
  </si>
  <si>
    <t>2016-09-16 19:00:00</t>
  </si>
  <si>
    <t>2016-09-17 20:00:00</t>
  </si>
  <si>
    <t>2016-09-18 20:00:00</t>
  </si>
  <si>
    <t>2016-09-19 20:00:00</t>
  </si>
  <si>
    <t>2016-09-20 20:00:00</t>
  </si>
  <si>
    <t>2016-09-21 20:00:00</t>
  </si>
  <si>
    <t>2016-09-22 20:00:00</t>
  </si>
  <si>
    <t>2016-09-22 20:15:00</t>
  </si>
  <si>
    <t>2016-09-23 20:00:00</t>
  </si>
  <si>
    <t>2016-09-24 20:00:00</t>
  </si>
  <si>
    <t>2016-09-25 20:00:00</t>
  </si>
  <si>
    <t>2016-09-26 20:00:00</t>
  </si>
  <si>
    <t>2016-09-27 20:00:00</t>
  </si>
  <si>
    <t>2016-09-28 20:00:00</t>
  </si>
  <si>
    <t>2016-09-29 20:00:00</t>
  </si>
  <si>
    <t>2016-10-06 17:00:00</t>
  </si>
  <si>
    <t>2016-10-13 18:00:00</t>
  </si>
  <si>
    <t>2016-10-20 17:30:00</t>
  </si>
  <si>
    <t>2016-10-27 16:30:00</t>
  </si>
  <si>
    <t>2016-11-03 15:30:00</t>
  </si>
  <si>
    <t>2018-07-24 03:20:00</t>
  </si>
  <si>
    <t>2018-07-25 15:00:00</t>
  </si>
  <si>
    <t>2018-07-25 16:34:00</t>
  </si>
  <si>
    <t>satellite (GOFER or FEDS)</t>
  </si>
  <si>
    <t>2018-07-23 17:00:00</t>
  </si>
  <si>
    <t>2018-07-24 05:00:00</t>
  </si>
  <si>
    <t>2018-07-24 17:00:00</t>
  </si>
  <si>
    <t>2018-07-25 05:00:00</t>
  </si>
  <si>
    <t>2018-07-25 17:00:00</t>
  </si>
  <si>
    <t>2018-07-26 05:00:00</t>
  </si>
  <si>
    <t>2018-07-27 17:00:00</t>
  </si>
  <si>
    <t>2018-07-28 05:00:00</t>
  </si>
  <si>
    <t>2018-07-28 17:00:00</t>
  </si>
  <si>
    <t>2018-07-29 05:00:00</t>
  </si>
  <si>
    <t>2018-07-29 17:00:00</t>
  </si>
  <si>
    <t>2018-07-30 05:00:00</t>
  </si>
  <si>
    <t>2018-07-30 17:00:00</t>
  </si>
  <si>
    <t>2018-07-31 05:00:00</t>
  </si>
  <si>
    <t>2018-07-31 17:00:00</t>
  </si>
  <si>
    <t>2018-08-01 05:00:00</t>
  </si>
  <si>
    <t>2018-08-01 17:00:00</t>
  </si>
  <si>
    <t>2018-08-02 05:00:00</t>
  </si>
  <si>
    <t>2018-08-02 17:00:00</t>
  </si>
  <si>
    <t>2018-08-03 05:00:00</t>
  </si>
  <si>
    <t>2018-08-03 17:00:00</t>
  </si>
  <si>
    <t>2018-08-04 05:00:00</t>
  </si>
  <si>
    <t>2018-08-04 17:00:00</t>
  </si>
  <si>
    <t>2018-08-05 05:00:00</t>
  </si>
  <si>
    <t>2018-08-05 17:00:00</t>
  </si>
  <si>
    <t>2018-08-06 05:00:00</t>
  </si>
  <si>
    <t>2018-08-06 17:00:00</t>
  </si>
  <si>
    <t>2018-08-07 05:00:00</t>
  </si>
  <si>
    <t>2018-08-07 17:00:00</t>
  </si>
  <si>
    <t>2018-08-08 05:00:00</t>
  </si>
  <si>
    <t>2018-08-08 17:00:00</t>
  </si>
  <si>
    <t>2018-08-09 05:00:00</t>
  </si>
  <si>
    <t>2018-08-09 17:00:00</t>
  </si>
  <si>
    <t>2018-08-10 05:00:00</t>
  </si>
  <si>
    <t>2018-08-10 17:00:00</t>
  </si>
  <si>
    <t>2018-08-11 05:00:00</t>
  </si>
  <si>
    <t>2018-08-11 17:00:00</t>
  </si>
  <si>
    <t>2018-08-12 05:00:00</t>
  </si>
  <si>
    <t>2018-08-12 17:00:00</t>
  </si>
  <si>
    <t>2018-08-13 05:00:00</t>
  </si>
  <si>
    <t>2018-08-13 17:00:00</t>
  </si>
  <si>
    <t>2018-08-14 05:00:00</t>
  </si>
  <si>
    <t>2018-08-14 17:00:00</t>
  </si>
  <si>
    <t>2018-08-15 05:00:00</t>
  </si>
  <si>
    <t>2018-08-15 17:00:00</t>
  </si>
  <si>
    <t>2018-08-16 05:00:00</t>
  </si>
  <si>
    <t>2018-08-16 17:00:00</t>
  </si>
  <si>
    <t>2018-08-17 05:00:00</t>
  </si>
  <si>
    <t>2018-08-17 17:00:00</t>
  </si>
  <si>
    <t>2018-08-18 05:00:00</t>
  </si>
  <si>
    <t>2018-08-18 17:00:00</t>
  </si>
  <si>
    <t>2018-08-19 05:00:00</t>
  </si>
  <si>
    <t>2018-08-19 17:00:00</t>
  </si>
  <si>
    <t>2018-08-20 05:00:00</t>
  </si>
  <si>
    <t>2018-08-20 17:00:00</t>
  </si>
  <si>
    <t>2018-08-21 05:00:00</t>
  </si>
  <si>
    <t>2018-08-21 17:00:00</t>
  </si>
  <si>
    <t>2018-08-22 05:00:00</t>
  </si>
  <si>
    <t>2018-08-22 17:00:00</t>
  </si>
  <si>
    <t>2018-08-23 05:00:00</t>
  </si>
  <si>
    <t>2018-08-23 17:00:00</t>
  </si>
  <si>
    <t>2018-08-24 05:00:00</t>
  </si>
  <si>
    <t>2018-08-24 17:00:00</t>
  </si>
  <si>
    <t>2018-08-25 05:00:00</t>
  </si>
  <si>
    <t>2018-08-25 17:00:00</t>
  </si>
  <si>
    <t>2018-08-26 05:00:00</t>
  </si>
  <si>
    <t>2018-08-26 17:00:00</t>
  </si>
  <si>
    <t>2018-08-27 05:00:00</t>
  </si>
  <si>
    <t>2018-08-28 05:00:00</t>
  </si>
  <si>
    <t>2018-08-28 17:00:00</t>
  </si>
  <si>
    <t>2018-08-29 05:00:00</t>
  </si>
  <si>
    <t>2018-08-29 17:00:00</t>
  </si>
  <si>
    <t>2018-08-30 05:00:00</t>
  </si>
  <si>
    <t>2018-08-30 17:00:00</t>
  </si>
  <si>
    <t>2018-08-31 05:00:00</t>
  </si>
  <si>
    <t>2018-08-31 17:00:00</t>
  </si>
  <si>
    <t>2018-09-01 05:00:00</t>
  </si>
  <si>
    <t>2018-09-01 17:00:00</t>
  </si>
  <si>
    <t>2018-09-02 05:00:00</t>
  </si>
  <si>
    <t>2018-09-02 17:00:00</t>
  </si>
  <si>
    <t>2018-09-03 05:00:00</t>
  </si>
  <si>
    <t>2018-09-03 17:00:00</t>
  </si>
  <si>
    <t>2018-09-04 05:00:00</t>
  </si>
  <si>
    <t>2018-07-23 18:30:00</t>
  </si>
  <si>
    <t>2018-07-24 01:45:00</t>
  </si>
  <si>
    <t>2018-07-24 08:00:00</t>
  </si>
  <si>
    <t>2018-07-24 11:30:00</t>
  </si>
  <si>
    <t>2018-07-24 12:45:00</t>
  </si>
  <si>
    <t>2018-07-24 19:30:00</t>
  </si>
  <si>
    <t>2018-07-24 19:45:00</t>
  </si>
  <si>
    <t>2018-07-25 19:15:00</t>
  </si>
  <si>
    <t>2018-07-26 20:15:00</t>
  </si>
  <si>
    <t>2018-07-26 21:00:00</t>
  </si>
  <si>
    <t>2018-07-27 08:00:00</t>
  </si>
  <si>
    <t>2018-07-27 20:00:00</t>
  </si>
  <si>
    <t>2018-07-28 07:30:00</t>
  </si>
  <si>
    <t>2018-07-28 08:45:00</t>
  </si>
  <si>
    <t>2018-07-28 20:00:00</t>
  </si>
  <si>
    <t>2018-07-29 08:00:00</t>
  </si>
  <si>
    <t>2018-07-29 20:00:00</t>
  </si>
  <si>
    <t>2018-07-30 08:00:00</t>
  </si>
  <si>
    <t>2018-07-30 20:00:00</t>
  </si>
  <si>
    <t>2018-07-31 07:45:00</t>
  </si>
  <si>
    <t>2018-07-31 20:00:00</t>
  </si>
  <si>
    <t>2018-08-01 08:00:00</t>
  </si>
  <si>
    <t>2018-08-01 20:00:00</t>
  </si>
  <si>
    <t>2018-08-02 07:45:00</t>
  </si>
  <si>
    <t>2018-08-02 20:00:00</t>
  </si>
  <si>
    <t>2018-08-03 08:00:00</t>
  </si>
  <si>
    <t>2018-08-03 20:00:00</t>
  </si>
  <si>
    <t>2018-08-04 07:30:00</t>
  </si>
  <si>
    <t>2018-08-04 20:00:00</t>
  </si>
  <si>
    <t>2018-08-05 07:45:00</t>
  </si>
  <si>
    <t>2018-08-05 20:00:00</t>
  </si>
  <si>
    <t>2018-08-06 07:45:00</t>
  </si>
  <si>
    <t>2018-08-06 19:45:00</t>
  </si>
  <si>
    <t>2018-08-07 07:45:00</t>
  </si>
  <si>
    <t>2018-08-07 19:45:00</t>
  </si>
  <si>
    <t>2018-08-08 08:00:00</t>
  </si>
  <si>
    <t>2018-08-08 20:00:00</t>
  </si>
  <si>
    <t>2018-08-09 07:45:00</t>
  </si>
  <si>
    <t>2018-08-09 19:30:00</t>
  </si>
  <si>
    <t>2018-08-10 07:30:00</t>
  </si>
  <si>
    <t>2018-08-10 19:30:00</t>
  </si>
  <si>
    <t>2018-08-11 07:45:00</t>
  </si>
  <si>
    <t>2018-08-11 20:00:00</t>
  </si>
  <si>
    <t>2018-08-12 08:00:00</t>
  </si>
  <si>
    <t>2018-08-12 08:15:00</t>
  </si>
  <si>
    <t>2018-08-13 08:00:00</t>
  </si>
  <si>
    <t>2018-08-13 20:00:00</t>
  </si>
  <si>
    <t>2018-08-14 07:45:00</t>
  </si>
  <si>
    <t>2018-08-14 19:45:00</t>
  </si>
  <si>
    <t>2018-08-15 07:30:00</t>
  </si>
  <si>
    <t>2018-08-15 08:00:00</t>
  </si>
  <si>
    <t>2018-08-15 19:00:00</t>
  </si>
  <si>
    <t>2018-08-16 07:30:00</t>
  </si>
  <si>
    <t>2018-08-16 07:45:00</t>
  </si>
  <si>
    <t>2018-08-16 18:45:00</t>
  </si>
  <si>
    <t>2018-08-17 07:45:00</t>
  </si>
  <si>
    <t>2018-08-17 19:00:00</t>
  </si>
  <si>
    <t>2018-08-18 07:30:00</t>
  </si>
  <si>
    <t>2018-08-18 18:00:00</t>
  </si>
  <si>
    <t>2018-08-19 07:30:00</t>
  </si>
  <si>
    <t>2018-08-19 18:00:00</t>
  </si>
  <si>
    <t>2018-08-20 07:30:00</t>
  </si>
  <si>
    <t>2018-08-20 15:15:00</t>
  </si>
  <si>
    <t>2018-08-21 07:30:00</t>
  </si>
  <si>
    <t>2018-08-21 17:30:00</t>
  </si>
  <si>
    <t>2018-08-22 07:30:00</t>
  </si>
  <si>
    <t>2018-08-22 19:30:00</t>
  </si>
  <si>
    <t>2018-08-23 06:45:00</t>
  </si>
  <si>
    <t>2018-08-23 19:45:00</t>
  </si>
  <si>
    <t>2018-08-24 19:00:00</t>
  </si>
  <si>
    <t>2018-08-26 19:00:00</t>
  </si>
  <si>
    <t>2018-08-27 19:00:00</t>
  </si>
  <si>
    <t>2018-08-28 19:00:00</t>
  </si>
  <si>
    <t>2018-08-29 19:00:00</t>
  </si>
  <si>
    <t>2018-08-30 19:00:00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</si>
  <si>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</si>
  <si>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</si>
  <si>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</si>
  <si>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</si>
  <si>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</si>
  <si>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</si>
  <si>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</si>
  <si>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</si>
  <si>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</si>
  <si>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</si>
  <si>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</si>
  <si>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</si>
  <si>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</si>
  <si>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</si>
  <si>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</si>
  <si>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</si>
  <si>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</si>
  <si>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</si>
  <si>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</si>
  <si>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</si>
  <si>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</si>
  <si>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</si>
  <si>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</si>
  <si>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</si>
  <si>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</si>
  <si>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</si>
  <si>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</si>
  <si>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</si>
  <si>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</si>
  <si>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</si>
  <si>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</si>
  <si>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</si>
  <si>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</si>
  <si>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</si>
  <si>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</si>
  <si>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</si>
  <si>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</si>
  <si>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</si>
  <si>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</si>
  <si>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</si>
  <si>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</si>
  <si>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</si>
  <si>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</si>
  <si>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</si>
  <si>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</si>
  <si>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</si>
  <si>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</si>
  <si>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</si>
  <si>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</si>
  <si>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</si>
  <si>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</si>
  <si>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</si>
  <si>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</si>
  <si>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</si>
  <si>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</si>
  <si>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</si>
  <si>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</si>
  <si>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</si>
  <si>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</si>
  <si>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</si>
  <si>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</si>
  <si>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</si>
  <si>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</si>
  <si>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</si>
  <si>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</si>
  <si>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</si>
  <si>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</si>
  <si>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</si>
  <si>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</si>
  <si>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</si>
  <si>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</si>
  <si>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</si>
  <si>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</si>
  <si>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</si>
  <si>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</si>
  <si>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</si>
  <si>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</si>
  <si>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</si>
  <si>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</si>
  <si>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</si>
  <si>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</si>
  <si>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</si>
  <si>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</si>
  <si>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</si>
  <si>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</si>
  <si>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</si>
  <si>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</si>
  <si>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</si>
  <si>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</si>
  <si>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</si>
  <si>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</si>
  <si>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</si>
  <si>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</si>
  <si>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</si>
  <si>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</si>
  <si>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</si>
  <si>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</si>
  <si>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</si>
  <si>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</si>
  <si>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</si>
  <si>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</si>
  <si>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</si>
  <si>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</si>
  <si>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</si>
  <si>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</si>
  <si>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</si>
  <si>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</si>
  <si>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</si>
  <si>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</si>
  <si>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</si>
  <si>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</si>
  <si>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</si>
  <si>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</si>
  <si>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</si>
  <si>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</si>
  <si>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</si>
  <si>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</si>
  <si>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</si>
  <si>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</si>
  <si>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</si>
  <si>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</si>
  <si>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</si>
  <si>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</si>
  <si>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</si>
  <si>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</si>
  <si>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</si>
  <si>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</si>
  <si>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</si>
  <si>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</si>
  <si>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</si>
  <si>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</si>
  <si>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</si>
  <si>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</si>
  <si>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</si>
  <si>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</si>
  <si>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</si>
  <si>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</si>
  <si>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</si>
  <si>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</si>
  <si>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</si>
  <si>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</si>
  <si>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</si>
  <si>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</si>
  <si>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</si>
  <si>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</si>
  <si>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</si>
  <si>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</si>
  <si>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</si>
  <si>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</si>
  <si>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</si>
  <si>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</si>
  <si>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</si>
  <si>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</si>
  <si>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</si>
  <si>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</si>
  <si>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</si>
  <si>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</si>
  <si>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</si>
  <si>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</si>
  <si>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</si>
  <si>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</si>
  <si>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</si>
  <si>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</si>
  <si>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</si>
  <si>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</si>
  <si>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</si>
  <si>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</si>
  <si>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</si>
  <si>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</si>
  <si>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</si>
  <si>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</si>
  <si>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</si>
  <si>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</si>
  <si>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</si>
  <si>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</si>
  <si>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</si>
  <si>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</si>
  <si>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</si>
  <si>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</si>
  <si>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</si>
  <si>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</si>
  <si>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</si>
  <si>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</si>
  <si>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</si>
  <si>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</si>
  <si>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</si>
  <si>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</si>
  <si>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</si>
  <si>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</si>
  <si>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</si>
  <si>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</si>
  <si>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</si>
  <si>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</si>
  <si>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</si>
  <si>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</si>
  <si>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</si>
  <si>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</si>
  <si>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</si>
  <si>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</si>
  <si>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</si>
  <si>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</si>
  <si>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</si>
  <si>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</si>
  <si>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</si>
  <si>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</si>
  <si>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</si>
  <si>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2020-08-25 23:00:00</t>
  </si>
  <si>
    <t>2020-08-26 00:00:00</t>
  </si>
  <si>
    <t>2020-08-26 01:00:00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</si>
  <si>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</si>
  <si>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</si>
  <si>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</si>
  <si>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</si>
  <si>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</si>
  <si>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</si>
  <si>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</si>
  <si>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</si>
  <si>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</si>
  <si>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</si>
  <si>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</si>
  <si>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</si>
  <si>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</si>
  <si>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</si>
  <si>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</si>
  <si>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</si>
  <si>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</si>
  <si>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</si>
  <si>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</si>
  <si>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</si>
  <si>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</si>
  <si>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</si>
  <si>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</si>
  <si>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</si>
  <si>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</si>
  <si>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</si>
  <si>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</si>
  <si>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</si>
  <si>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</si>
  <si>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</si>
  <si>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</si>
  <si>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</si>
  <si>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</si>
  <si>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</si>
  <si>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</si>
  <si>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</si>
  <si>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</si>
  <si>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</si>
  <si>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</si>
  <si>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17:00:00</t>
  </si>
  <si>
    <t>2020-08-27 18:00:00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</si>
  <si>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</si>
  <si>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</si>
  <si>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</si>
  <si>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</si>
  <si>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</si>
  <si>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</si>
  <si>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</si>
  <si>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</si>
  <si>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</si>
  <si>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</si>
  <si>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</si>
  <si>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</si>
  <si>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</si>
  <si>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</si>
  <si>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</si>
  <si>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</si>
  <si>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</si>
  <si>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</si>
  <si>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13:00:00</t>
  </si>
  <si>
    <t>2020-08-28 14:00:00</t>
  </si>
  <si>
    <t>2020-08-29 00:00:00</t>
  </si>
  <si>
    <t>2020-08-29 12:00:00</t>
  </si>
  <si>
    <t>2020-08-30 00:00:00</t>
  </si>
  <si>
    <t>2020-08-30 12:00:00</t>
  </si>
  <si>
    <t>2020-08-31 00:00:00</t>
  </si>
  <si>
    <t>2020-08-31 12:00:00</t>
  </si>
  <si>
    <t>2020-09-01 00:00:00</t>
  </si>
  <si>
    <t>2020-09-01 12:00:00</t>
  </si>
  <si>
    <t>2020-08-19 08:15:00</t>
  </si>
  <si>
    <t>2020-08-19 19:30:00</t>
  </si>
  <si>
    <t>2020-08-20 07:15:00</t>
  </si>
  <si>
    <t>2020-08-20 18:45:00</t>
  </si>
  <si>
    <t>2020-08-20 20:30:00</t>
  </si>
  <si>
    <t>2020-08-21 07:30:00</t>
  </si>
  <si>
    <t>2020-08-22 19:30:00</t>
  </si>
  <si>
    <t>2020-08-23 07:15:00</t>
  </si>
  <si>
    <t>2020-08-23 18:30:00</t>
  </si>
  <si>
    <t>2020-08-24 07:45:00</t>
  </si>
  <si>
    <t>2020-08-24 19:30:00</t>
  </si>
  <si>
    <t>2020-08-25 19:30:00</t>
  </si>
  <si>
    <t>2020-08-26 07:45:00</t>
  </si>
  <si>
    <t>2020-08-26 19:30:00</t>
  </si>
  <si>
    <t>2020-08-27 07:30:00</t>
  </si>
  <si>
    <t>2020-08-28 07:30:00</t>
  </si>
  <si>
    <t>2020-08-28 19:30:00</t>
  </si>
  <si>
    <t>2020-08-29 07:45:00</t>
  </si>
  <si>
    <t>2020-08-29 19:15:00</t>
  </si>
  <si>
    <t>2020-08-30 07:30:00</t>
  </si>
  <si>
    <t>2020-08-30 19:30:00</t>
  </si>
  <si>
    <t>2020-08-31 07:30:00</t>
  </si>
  <si>
    <t>2020-08-31 19:45:00</t>
  </si>
  <si>
    <t>2020-09-01 07:45:00</t>
  </si>
  <si>
    <t>2020-09-01 18:45:00</t>
  </si>
  <si>
    <t>2020-09-02 07:30:00</t>
  </si>
  <si>
    <t>2020-09-02 20:00:00</t>
  </si>
  <si>
    <t>2020-09-03 07:30:00</t>
  </si>
  <si>
    <t>2020-09-03 19:00:00</t>
  </si>
  <si>
    <t>2020-09-04 07:30:00</t>
  </si>
  <si>
    <t>2020-09-04 19:15:00</t>
  </si>
  <si>
    <t>2020-09-05 07:15:00</t>
  </si>
  <si>
    <t>2020-09-05 19:30:00</t>
  </si>
  <si>
    <t>2020-09-06 07:30:00</t>
  </si>
  <si>
    <t>2020-09-06 19:00:00</t>
  </si>
  <si>
    <t>2020-09-07 07:30:00</t>
  </si>
  <si>
    <t>2020-09-07 18:30:00</t>
  </si>
  <si>
    <t>2020-09-08 07:45:00</t>
  </si>
  <si>
    <t>2020-09-08 19:15:00</t>
  </si>
  <si>
    <t>2020-09-09 07:00:00</t>
  </si>
  <si>
    <t>2020-09-09 17:30:00</t>
  </si>
  <si>
    <t>2020-09-10 07:15:00</t>
  </si>
  <si>
    <t>2020-09-10 17:30:00</t>
  </si>
  <si>
    <t>2020-09-11 08:15:00</t>
  </si>
  <si>
    <t>2020-09-11 19:45:00</t>
  </si>
  <si>
    <t>2020-09-12 19:30:00</t>
  </si>
  <si>
    <t>2020-09-12 19:45:00</t>
  </si>
  <si>
    <t>2020-09-13 18:45:00</t>
  </si>
  <si>
    <t>2020-09-13 19:45:00</t>
  </si>
  <si>
    <t>2020-09-14 19:15:00</t>
  </si>
  <si>
    <t>2020-09-15 19:30:00</t>
  </si>
  <si>
    <t>2020-09-16 19:30:00</t>
  </si>
  <si>
    <t>2020-09-30 21:30:00</t>
  </si>
  <si>
    <t>2020-10-01 19:15:00</t>
  </si>
  <si>
    <t>2018-11-09 15:13:00</t>
  </si>
  <si>
    <t>2018-11-16 12:12:00</t>
  </si>
  <si>
    <t>2018-11-09 04:00:00</t>
  </si>
  <si>
    <t>2018-11-09 16:00:00</t>
  </si>
  <si>
    <t>2018-11-10 04:00:00</t>
  </si>
  <si>
    <t>2018-11-10 16:00:00</t>
  </si>
  <si>
    <t>2018-11-11 04:00:00</t>
  </si>
  <si>
    <t>2018-11-11 16:00:00</t>
  </si>
  <si>
    <t>2018-11-12 04:00:00</t>
  </si>
  <si>
    <t>2018-11-12 16:00:00</t>
  </si>
  <si>
    <t>2018-11-13 04:00:00</t>
  </si>
  <si>
    <t>2018-11-13 16:00:00</t>
  </si>
  <si>
    <t>2018-11-14 04:00:00</t>
  </si>
  <si>
    <t>2018-11-14 16:00:00</t>
  </si>
  <si>
    <t>2018-11-15 04:00:00</t>
  </si>
  <si>
    <t>2018-11-15 16:00:00</t>
  </si>
  <si>
    <t>2018-11-16 04:00:00</t>
  </si>
  <si>
    <t>2018-11-16 16:00:00</t>
  </si>
  <si>
    <t>2018-11-17 04:00:00</t>
  </si>
  <si>
    <t>2018-11-17 16:00:00</t>
  </si>
  <si>
    <t>2018-11-18 04:00:00</t>
  </si>
  <si>
    <t>2018-11-18 16:00:00</t>
  </si>
  <si>
    <t>2018-11-19 04:00:00</t>
  </si>
  <si>
    <t>2018-11-19 16:00:00</t>
  </si>
  <si>
    <t>2018-11-20 04:00:00</t>
  </si>
  <si>
    <t>2018-11-20 16:00:00</t>
  </si>
  <si>
    <t>2018-11-21 04:00:00</t>
  </si>
  <si>
    <t>2018-11-21 16:00:00</t>
  </si>
  <si>
    <t>2018-11-22 04:00:00</t>
  </si>
  <si>
    <t>2018-11-22 16:00:00</t>
  </si>
  <si>
    <t>2018-11-23 04:00:00</t>
  </si>
  <si>
    <t>2018-11-23 16:00:00</t>
  </si>
  <si>
    <t>2018-11-24 04:00:00</t>
  </si>
  <si>
    <t>2018-11-24 16:00:00</t>
  </si>
  <si>
    <t>2018-11-25 04:00:00</t>
  </si>
  <si>
    <t>2018-11-25 16:00:00</t>
  </si>
  <si>
    <t>2018-11-26 04:00:00</t>
  </si>
  <si>
    <t>2018-11-26 16:00:00</t>
  </si>
  <si>
    <t>2018-11-27 04:00:00</t>
  </si>
  <si>
    <t>2018-11-27 16:00:00</t>
  </si>
  <si>
    <t>2018-11-28 04:00:00</t>
  </si>
  <si>
    <t>2018-11-28 16:00:00</t>
  </si>
  <si>
    <t>2018-11-29 04:00:00</t>
  </si>
  <si>
    <t>2018-11-29 16:00:00</t>
  </si>
  <si>
    <t>2018-11-30 04:00:00</t>
  </si>
  <si>
    <t>2018-11-08 19:20:00</t>
  </si>
  <si>
    <t>2018-11-09 07:45:00</t>
  </si>
  <si>
    <t>2018-11-09 19:00:00</t>
  </si>
  <si>
    <t>2018-11-10 07:45:00</t>
  </si>
  <si>
    <t>2018-11-10 19:45:00</t>
  </si>
  <si>
    <t>2018-11-11 08:00:00</t>
  </si>
  <si>
    <t>2018-11-11 20:00:00</t>
  </si>
  <si>
    <t>2018-11-12 07:45:00</t>
  </si>
  <si>
    <t>2018-11-12 20:00:00</t>
  </si>
  <si>
    <t>2018-11-13 07:45:00</t>
  </si>
  <si>
    <t>2018-11-13 08:45:00</t>
  </si>
  <si>
    <t>2018-11-13 19:45:00</t>
  </si>
  <si>
    <t>2018-11-14 07:45:00</t>
  </si>
  <si>
    <t>2018-11-14 19:45:00</t>
  </si>
  <si>
    <t>2018-11-15 07:45:00</t>
  </si>
  <si>
    <t>2018-11-15 19:45:00</t>
  </si>
  <si>
    <t>2018-11-16 07:45:00</t>
  </si>
  <si>
    <t>2018-11-16 19:30:00</t>
  </si>
  <si>
    <t>2018-11-17 07:45:00</t>
  </si>
  <si>
    <t>2018-11-17 19:30:00</t>
  </si>
  <si>
    <t>2018-11-18 07:45:00</t>
  </si>
  <si>
    <t>2018-11-18 19:45:00</t>
  </si>
  <si>
    <t>2018-11-19 07:45:00</t>
  </si>
  <si>
    <t>2018-11-19 18:30:00</t>
  </si>
  <si>
    <t>2018-11-20 07:45:00</t>
  </si>
  <si>
    <t>2018-11-20 19:45:00</t>
  </si>
  <si>
    <t>2018-11-21 07:45:00</t>
  </si>
  <si>
    <t>2018-11-21 19:45:00</t>
  </si>
  <si>
    <t>2018-11-22 08:00:00</t>
  </si>
  <si>
    <t>2018-11-22 17:15:00</t>
  </si>
  <si>
    <t>2018-11-23 07:45:00</t>
  </si>
  <si>
    <t>2018-11-23 19:30:00</t>
  </si>
  <si>
    <t>2018-11-24 07:30:00</t>
  </si>
  <si>
    <t>2018-11-24 19:30:00</t>
  </si>
  <si>
    <t>2018-11-25 08:00:00</t>
  </si>
  <si>
    <t>2018-11-25 09:00:00</t>
  </si>
  <si>
    <t>2018-11-25 19:30:00</t>
  </si>
  <si>
    <t>Start-time records</t>
  </si>
  <si>
    <t>Spread without ICS-209 (min)</t>
  </si>
  <si>
    <t>Spread with ICS-209 (min)</t>
  </si>
  <si>
    <t>Containment records</t>
  </si>
  <si>
    <t>Containment spread (days)</t>
  </si>
  <si>
    <t>First report by Casner Fire lead plane (Gabbert 2016, p.2): 2016-07-18 17:17:00; ICS-209 discovery time: 2016-07-18 18:09:00</t>
  </si>
  <si>
    <t>Rodriguez 2020 / 209 at 100%: 2016-11-03; Clements 2018: 2016-11-04</t>
  </si>
  <si>
    <t>Investigator ignition estimate (USFS 2021, pp.3, 6): 2018-07-23 13:09:00; CAL FIRE administrative start: 2018-07-23 13:15:00; ICS-209 discovery time: 2018-07-23 15:00:00</t>
  </si>
  <si>
    <t>CAL FIRE webpage 09:37: 2018-08-30; ICS-209 F report: 2018-08-30</t>
  </si>
  <si>
    <t>NIST first observations (Maranghides et al 2021, p.19): 2018-11-08 06:25:00; CAL FIRE start (Green Sheet): 2018-11-08 06:29:00; ICS-209 discovery time: 2018-11-08 08:29:00</t>
  </si>
  <si>
    <t>ICS-209 at 100%: 2018-11-25; NICC annual table: 2018-11-25</t>
  </si>
  <si>
    <t>GOFER reference ignition time: 2020-08-17 06:00:00; CAL FIRE incident update, 1 Sep 2020, p.1: 2020-08-17 06:40:00; CAL FIRE incident webpage: 2020-08-17 08:00:00; ICS-209 discovery time: 2020-08-17 13:57:00</t>
  </si>
  <si>
    <t>ICS-209 at 100%: 2020-09-30; ICS-209 F report: 2020-10-01; CAL FIRE webpage 10:38: 2020-10-02</t>
  </si>
  <si>
    <t>Archive time</t>
  </si>
  <si>
    <t>Acres</t>
  </si>
  <si>
    <t>Method</t>
  </si>
  <si>
    <t>Why flagged</t>
  </si>
  <si>
    <t>2018-07-23 11:30:00</t>
  </si>
  <si>
    <t>NIFC Open Data / GeoMAC</t>
  </si>
  <si>
    <t>Hand sketch</t>
  </si>
  <si>
    <t>Stamped before investigated ignition 13:09; size matches later records (likely 12 h clock error)</t>
  </si>
  <si>
    <t>2018-07-23 13:02:00</t>
  </si>
  <si>
    <t>Infrared imagery (platform unknown)</t>
  </si>
  <si>
    <t>Time</t>
  </si>
  <si>
    <t>Family</t>
  </si>
  <si>
    <t>Source acres</t>
  </si>
  <si>
    <t>GOFER acres (within 1 h)</t>
  </si>
  <si>
    <t>GOFER / source</t>
  </si>
  <si>
    <t>FEDS 2020 (sum of objects)</t>
  </si>
  <si>
    <t>satellite</t>
  </si>
  <si>
    <t>ICS-209-PLUS v3</t>
  </si>
  <si>
    <t>report</t>
  </si>
  <si>
    <t>CAL FIRE 20200828 (3 polygons summed; layer date only)</t>
  </si>
  <si>
    <t>mapped_dateonly</t>
  </si>
  <si>
    <t>Aircraft perimeters</t>
  </si>
  <si>
    <t>Satellite records</t>
  </si>
  <si>
    <t>Incident reports</t>
  </si>
  <si>
    <t>Median h between aircraft perimeters</t>
  </si>
  <si>
    <t>Ignition to first spatial (h)</t>
  </si>
  <si>
    <t>Gaps over 12 h</t>
  </si>
  <si>
    <t>Growth in those gaps (acres)</t>
  </si>
  <si>
    <t>Share of final</t>
  </si>
  <si>
    <t>Source files: Wildfire Perimeter Time Area Sources.xlsx and Wildfire Perimeter Data Supplements.docx (perimeter_supplements/). Camp from Fire Case Studies/Camp_2018 and research_data (not in the supplement).</t>
  </si>
  <si>
    <t>Issue</t>
  </si>
  <si>
    <t>Fires</t>
  </si>
  <si>
    <t>Effect on UQ</t>
  </si>
  <si>
    <t>Handling</t>
  </si>
  <si>
    <t>Evidence</t>
  </si>
  <si>
    <t>DQ1</t>
  </si>
  <si>
    <t>ICS-209-PLUS ACRES is cleaned and capped at final size</t>
  </si>
  <si>
    <t>LNU (26 of 61 reports); Carr 1; Pioneer 0</t>
  </si>
  <si>
    <t>Hides real-time overestimates and revisions</t>
  </si>
  <si>
    <t>Use CURR_INCIDENT_AREA</t>
  </si>
  <si>
    <t>All 209 fields sheets</t>
  </si>
  <si>
    <t>DQ3</t>
  </si>
  <si>
    <t>Two personnel definitions</t>
  </si>
  <si>
    <t>All four</t>
  </si>
  <si>
    <t>Demand off by 2.8 to 3.6 times</t>
  </si>
  <si>
    <t>Use NICC counts for M5 demand</t>
  </si>
  <si>
    <t>Case Study Summary</t>
  </si>
  <si>
    <t>DQ4</t>
  </si>
  <si>
    <t>NICC is derived from the 209</t>
  </si>
  <si>
    <t>All four (weakest on Camp)</t>
  </si>
  <si>
    <t>Not an independent size check</t>
  </si>
  <si>
    <t>Count as one source</t>
  </si>
  <si>
    <t>Reporting Cadence sheet</t>
  </si>
  <si>
    <t>DQ5</t>
  </si>
  <si>
    <t>Cause disagrees across records</t>
  </si>
  <si>
    <t>Matters only if cause enters a model</t>
  </si>
  <si>
    <t>Record both</t>
  </si>
  <si>
    <t>209/NICC U vs BDC human (Pioneer) and CAL FIRE lightning (LNU)</t>
  </si>
  <si>
    <t>DQ6</t>
  </si>
  <si>
    <t>Damaged structures total suspect</t>
  </si>
  <si>
    <t>Carr, Camp, LNU</t>
  </si>
  <si>
    <t>Not used in this evaluation</t>
  </si>
  <si>
    <t>Use residential split or DINS</t>
  </si>
  <si>
    <t>Carr 1,610 vs 192 residential; Camp 18,118 vs 489; LNU 1,469 vs 112</t>
  </si>
  <si>
    <t>DQ7</t>
  </si>
  <si>
    <t>Reporting gaps</t>
  </si>
  <si>
    <t>LNU (16 to 30 Sep), Pioneer (169 h Oct)</t>
  </si>
  <si>
    <t>Gaps inflate apparent perimeter age late in incidents</t>
  </si>
  <si>
    <t>Exclude post-containment periods from cadence</t>
  </si>
  <si>
    <t>DQ8</t>
  </si>
  <si>
    <t>NICC PDF transcription errors</t>
  </si>
  <si>
    <t>Pioneer (1.506), Carr (3.831)</t>
  </si>
  <si>
    <t>Small</t>
  </si>
  <si>
    <t>Corrected and flagged in case study sheets</t>
  </si>
  <si>
    <t>DQ9</t>
  </si>
  <si>
    <t>FEDS late drop</t>
  </si>
  <si>
    <t>LNU (369,711 to 312,526 from 18 Sep)</t>
  </si>
  <si>
    <t>Would understate final size</t>
  </si>
  <si>
    <t>Use last stable overpass</t>
  </si>
  <si>
    <t>Size Reconciliation</t>
  </si>
  <si>
    <t>DQ10</t>
  </si>
  <si>
    <t>Detection time conflict</t>
  </si>
  <si>
    <t>Pioneer: reported 1717 by Casner Fire lead plane (Wildfire Today, 2 Sep 2016) vs 209 discovery 18:09</t>
  </si>
  <si>
    <t>T_detect anchor uncertain by about 50 min</t>
  </si>
  <si>
    <t>Carry as timing uncertainty</t>
  </si>
  <si>
    <t>Pioneer case study Summary sheet</t>
  </si>
  <si>
    <t>DQ11</t>
  </si>
  <si>
    <t>Ignition time conflict</t>
  </si>
  <si>
    <t>Camp: 209 discovery 08:29 vs CAL FIRE start 06:29; NIST first observations 06:25 to 06:40</t>
  </si>
  <si>
    <t>T_detect anchor from the 209 would be 2 h late</t>
  </si>
  <si>
    <t>Use CAL FIRE / NIST time</t>
  </si>
  <si>
    <t>Camp case study Summary; [Maranghides et al 2021, p.19]</t>
  </si>
  <si>
    <t>DQ12</t>
  </si>
  <si>
    <t>Structure loss reported with a lag</t>
  </si>
  <si>
    <t>Camp: NICC structures lost 0 on 9 Nov, 18,804 on 30 Nov</t>
  </si>
  <si>
    <t>Structure counts are not a real-time signal</t>
  </si>
  <si>
    <t>Do not use as a growth or severity input in real time</t>
  </si>
  <si>
    <t>Camp NICC Daily IMSR sheet</t>
  </si>
  <si>
    <t>DQ13</t>
  </si>
  <si>
    <t>Perimeter time stamps before ignition</t>
  </si>
  <si>
    <t>Carr (2 GeoMAC records, 23 Jul)</t>
  </si>
  <si>
    <t>Wrong growth rates and gap lengths in the first day</t>
  </si>
  <si>
    <t>Exclude; check all stamps against ignition and neighbours</t>
  </si>
  <si>
    <t>DQ14</t>
  </si>
  <si>
    <t>Single start time for a multi-ignition complex</t>
  </si>
  <si>
    <t>LNU (06:00, 06:40, 08:00 records; Markley human-caused)</t>
  </si>
  <si>
    <t>Misleading T_detect for components</t>
  </si>
  <si>
    <t>Model components separately</t>
  </si>
  <si>
    <t>Supplement LNU Event rows; CAL FIRE / Solano OES 2021, pp.3, 8</t>
  </si>
  <si>
    <t>ignition_reference</t>
  </si>
  <si>
    <t>first_call_or_report</t>
  </si>
  <si>
    <t>first_call_source</t>
  </si>
  <si>
    <t>first_aircraft_observation</t>
  </si>
  <si>
    <t>first_aircraft_source</t>
  </si>
  <si>
    <t>first_MODIS_detection</t>
  </si>
  <si>
    <t>first_VIIRS_detection</t>
  </si>
  <si>
    <t>first_aircraft_perimeter</t>
  </si>
  <si>
    <t>h_to_first_aircraft_perimeter</t>
  </si>
  <si>
    <t>first_satellite_area</t>
  </si>
  <si>
    <t>h_to_first_satellite_area</t>
  </si>
  <si>
    <t>first_ICS209_report</t>
  </si>
  <si>
    <t>h_to_first_ICS209</t>
  </si>
  <si>
    <t>ICS209_discovery_time</t>
  </si>
  <si>
    <t>h_ignition_to_209_discovery</t>
  </si>
  <si>
    <t>18 Jul 2016 17:17</t>
  </si>
  <si>
    <t>17:17 first report by the Casner Fire lead plane, 1 to 1.5 ac</t>
  </si>
  <si>
    <t>Gabbert 2016, p.2 (perimeter supplement)</t>
  </si>
  <si>
    <t>17:17 lead plane, 1 to 1.5 ac; about 100 ac by 21:27</t>
  </si>
  <si>
    <t>18 Jul 23:38 (6.3 h, 5 px)</t>
  </si>
  <si>
    <t>19 Jul 03:54 (10.6 h, 10 px)</t>
  </si>
  <si>
    <t>19 Jul 07:00, 232 ac</t>
  </si>
  <si>
    <t>13.7</t>
  </si>
  <si>
    <t>none</t>
  </si>
  <si>
    <t>19 Jul 00:45, 100 ac</t>
  </si>
  <si>
    <t>7.5</t>
  </si>
  <si>
    <t>18 Jul 18:09</t>
  </si>
  <si>
    <t>0.9</t>
  </si>
  <si>
    <t>23 Jul 2018 13:09</t>
  </si>
  <si>
    <t>13:10 to 13:11 first calls</t>
  </si>
  <si>
    <t>USFS Carr origin investigation 2021, pp.3, 6, 10 (perimeter supplement)</t>
  </si>
  <si>
    <t>13:32 air attack, 20 ac</t>
  </si>
  <si>
    <t>USFS Carr origin investigation 2021, p.10 (perimeter supplement)</t>
  </si>
  <si>
    <t>23 Jul 14:08 (1.0 h, 5 px)</t>
  </si>
  <si>
    <t>23 Jul 13:15 (0.1 h, 1 px)</t>
  </si>
  <si>
    <t>24 Jul 03:20, 3,126 ac</t>
  </si>
  <si>
    <t>14.2</t>
  </si>
  <si>
    <t>23 Jul 17:00, 4,376 ac (NASA FEDS 12 h (research_data))</t>
  </si>
  <si>
    <t>3.9</t>
  </si>
  <si>
    <t>23 Jul 18:30, 1,500 ac</t>
  </si>
  <si>
    <t>5.3</t>
  </si>
  <si>
    <t>23 Jul 15:18</t>
  </si>
  <si>
    <t>2.1</t>
  </si>
  <si>
    <t>08 Nov 2018 06:25</t>
  </si>
  <si>
    <t>06:25 first 911 call; dispatched 06:31; first engine in sight 06:44</t>
  </si>
  <si>
    <t>[Maranghides et al 2023, pp.87-88]</t>
  </si>
  <si>
    <t>07:52 air attack, about 1,000 ac; 08:01 about 2,000 ac and in Paradise</t>
  </si>
  <si>
    <t>[Maranghides et al 2021, pp.81-82]</t>
  </si>
  <si>
    <t>08 Nov 10:14 (3.8 h, 24 px)</t>
  </si>
  <si>
    <t>08 Nov 11:50 (5.4 h, 236 px)</t>
  </si>
  <si>
    <t>08 Nov 09:54, 54,586 ac</t>
  </si>
  <si>
    <t>08 Nov 16:00, 81,810 ac (NASA FEDS 12 h (research_data))</t>
  </si>
  <si>
    <t>9.6</t>
  </si>
  <si>
    <t>08 Nov 18:30, 16,000 ac</t>
  </si>
  <si>
    <t>12.1</t>
  </si>
  <si>
    <t>08 Nov 08:29</t>
  </si>
  <si>
    <t>17 Aug 2020 06:00</t>
  </si>
  <si>
    <t>16 to 17 Aug, many lightning ignitions; complex start 06:00 (GOFER), 06:40 or 08:00 (CAL FIRE)</t>
  </si>
  <si>
    <t>perimeter supplement (CAL FIRE 2020, 2023; Liu et al. 2024)</t>
  </si>
  <si>
    <t>not documented in the project records</t>
  </si>
  <si>
    <t>17 Aug 23:07 (17.1 h, 20 px)</t>
  </si>
  <si>
    <t>VIIRS not downloaded</t>
  </si>
  <si>
    <t>no aircraft series</t>
  </si>
  <si>
    <t>17 Aug 09:00, 191 ac (GOFER-Combined v0.2)</t>
  </si>
  <si>
    <t>3.0</t>
  </si>
  <si>
    <t>19 Aug 08:00, 33,025 ac</t>
  </si>
  <si>
    <t>50.0</t>
  </si>
  <si>
    <t>17 Aug 13:57</t>
  </si>
  <si>
    <t>8.0</t>
  </si>
  <si>
    <t>Gap</t>
  </si>
  <si>
    <t>Measured on the four fires</t>
  </si>
  <si>
    <t>Requirement</t>
  </si>
  <si>
    <t>Current drones (library or W5 in service)</t>
  </si>
  <si>
    <t>Future drones (W5)</t>
  </si>
  <si>
    <t>Blocker</t>
  </si>
  <si>
    <t>First hours</t>
  </si>
  <si>
    <t>First aircraft perimeter +3.5 to +14.2 h; first ICS-209 +5.3 to +12.1 h (LNU +50 h); Camp burnovers 85 min after first call</t>
  </si>
  <si>
    <t>Drone perimeter within the first hour</t>
  </si>
  <si>
    <t>Type 3 rotorcraft first look; Type 1 fixed wing VTOL (FVR-90)</t>
  </si>
  <si>
    <t>Drone-in-a-box (Ondas); Dryad sensors plus drones; Anduril towers plus drones</t>
  </si>
  <si>
    <t>NOTAM / TFR timing; dispatch</t>
  </si>
  <si>
    <t>first_report_eval; NWCG 2025 pp.5-7</t>
  </si>
  <si>
    <t>Revisit</t>
  </si>
  <si>
    <t>Median 14.5 to 18.8 h between perimeters; 59 to 91% of growth while newest perimeter &gt; 12 h old</t>
  </si>
  <si>
    <t>2 to 3 h revisit, 24 h a day</t>
  </si>
  <si>
    <t>Type 1 fixed wing 6 to 18 h endurance</t>
  </si>
  <si>
    <t>One-to-many swarms (Data Blanket)</t>
  </si>
  <si>
    <t>Pilots and airframes; swath vs perimeter length not set</t>
  </si>
  <si>
    <t>perimeter_eval; Revisit Curve sheet</t>
  </si>
  <si>
    <t>Night</t>
  </si>
  <si>
    <t>37% of LNU growth 20:00 to 06:00; 4 to 21% of perimeters at night</t>
  </si>
  <si>
    <t>Night and DVE mapping</t>
  </si>
  <si>
    <t>FVR-90 day and night (operator claim)</t>
  </si>
  <si>
    <t>Autonomous Firehawk (Rain / Sikorsky)</t>
  </si>
  <si>
    <t>DOI/FAA night MOA; night BVLOS not in library</t>
  </si>
  <si>
    <t>ConOps p.14; NWCG pp.6-7</t>
  </si>
  <si>
    <t>Warning</t>
  </si>
  <si>
    <t>Camp orders about at fire arrival (13 to 59 min before burnovers); unanswered emergency call; Carr 62 min warning to mayday</t>
  </si>
  <si>
    <t>Crew overwatch and warning relay</t>
  </si>
  <si>
    <t>FVR-90, SuperVolo relays (TCL 1)</t>
  </si>
  <si>
    <t>not found</t>
  </si>
  <si>
    <t>Relay telemetry 52% to 90%; no alert delivery shown</t>
  </si>
  <si>
    <t>Wu et al 2025 pp.9-11; NETTRA Table 12</t>
  </si>
  <si>
    <t>Wind</t>
  </si>
  <si>
    <t>Camp 20 to 30 mph, gusts &gt; 40; Pioneer gusts 28 to 40; LNU 20 to 40; Carr up to 21</t>
  </si>
  <si>
    <t>Fly through the blowup wind</t>
  </si>
  <si>
    <t>Alta X 22 mph (Carr only, marginal)</t>
  </si>
  <si>
    <t>Autonomous Black Hawk gusts to 30 kt</t>
  </si>
  <si>
    <t>Worst days are windiest; Type 1 limit unknown</t>
  </si>
  <si>
    <t>Week 6 wind table</t>
  </si>
  <si>
    <t>Water drop (M4) and logistics support (M5)</t>
  </si>
  <si>
    <t>No library drone has flown either</t>
  </si>
  <si>
    <t>Night water drop; scheduled delivery of water, hose, pumps and supplies to crews</t>
  </si>
  <si>
    <t>None</t>
  </si>
  <si>
    <t>Seneca Argo-1, FireSwarm, Dryad, autonomous Firehawk; KARGO II, Chaparral</t>
  </si>
  <si>
    <t>Small payload; approvals pending</t>
  </si>
  <si>
    <t>Week 5 Platform tab; ConOps p.19</t>
  </si>
  <si>
    <t>Platform</t>
  </si>
  <si>
    <t>Endurance used (h)</t>
  </si>
  <si>
    <t>Sorties per 24 h (one station)</t>
  </si>
  <si>
    <t>Remote pilot shifts (8 h flight / duty day)</t>
  </si>
  <si>
    <t>Notes</t>
  </si>
  <si>
    <t>FVR-90 (Type 1)</t>
  </si>
  <si>
    <t>Endurance 12 to 18 h (W5). Transit, turnaround and spares not included.</t>
  </si>
  <si>
    <t>Type 1 class, low end</t>
  </si>
  <si>
    <t>NWCG 2025 p.5 band 6 to 14 h.</t>
  </si>
  <si>
    <t>SuperVolo</t>
  </si>
  <si>
    <t>W5 / Wu et al 2025 p.9.</t>
  </si>
  <si>
    <t>Alta X (Type 3)</t>
  </si>
  <si>
    <t>3 per site</t>
  </si>
  <si>
    <t>FY22 USFS average sortie 17.0 min (W5). Close-in tier only.</t>
  </si>
  <si>
    <t>Q#</t>
  </si>
  <si>
    <t>Week 6 question (unchanged)</t>
  </si>
  <si>
    <t>Week 6 metrics</t>
  </si>
  <si>
    <t>Feeds</t>
  </si>
  <si>
    <t>UQ inputs</t>
  </si>
  <si>
    <t>Q1</t>
  </si>
  <si>
    <t>Can the drone carry the required water, suppressant, or water-handling equipment (hose spools, pumps, drinking water) to the fire area or to firefighters?</t>
  </si>
  <si>
    <t>Useful payload capacity</t>
  </si>
  <si>
    <t>U16 demand scale</t>
  </si>
  <si>
    <t>Q2</t>
  </si>
  <si>
    <t>Can it reach crews operating far from roads or staging areas and return safely with the required payload?</t>
  </si>
  <si>
    <t>Loaded mission range / radius; endurance with payload; turnaround time</t>
  </si>
  <si>
    <t>Turnaround p50 / p90; P(abort)</t>
  </si>
  <si>
    <t>U3 wind; U7 path deviation; U21 drone availability by wind</t>
  </si>
  <si>
    <t>Q3</t>
  </si>
  <si>
    <t>Can water and supplies be delivered accurately and safely where conventional vehicle access is limited?</t>
  </si>
  <si>
    <t>Landing / drop accuracy; delivery success rate</t>
  </si>
  <si>
    <t>P(on time); P(abort)</t>
  </si>
  <si>
    <t>U7 path deviation; U3 wind</t>
  </si>
  <si>
    <t>Q4</t>
  </si>
  <si>
    <t>Can the drone fleet provide enough water delivery capacity to make it operationally useful?</t>
  </si>
  <si>
    <t>Delivery time; deliveries per hour; water / supply throughput; number of drones required</t>
  </si>
  <si>
    <t>P(on time); crews served per aerial asset</t>
  </si>
  <si>
    <t>U10 delivery window; U16 demand scale; U11 human factors delay; U23 night and BVLOS authorisation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</si>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</sst>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3" fontId="0" fillId="0" borderId="0" xfId="0" applyNumberForma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0" customWidth="1"/>
  </cols>
  <sheetData>
    <row r="1" spans="1:2" ht="16" x14ac:dyDescent="0.2">
      <c r="A1" s="1" t="s">
        <v>0</v>
      </c>
      <c r="B1" s="1" t="s">
        <v>1</v>
      </c>
    </row>
    <row r="2" spans="1:2" ht="48" x14ac:dyDescent="0.2">
      <c r="A2" s="2" t="s">
        <v>2</v>
      </c>
      <c r="B2" s="2" t="s">
        <v>3</v>
      </c>
    </row>
    <row r="3" spans="1:2" ht="32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32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3" width="9" customWidth="1"/>
    <col min="4" max="4" width="12" customWidth="1"/>
    <col min="5" max="5" width="30" customWidth="1"/>
    <col min="6" max="6" width="60" customWidth="1"/>
    <col min="7" max="7" width="16" customWidth="1"/>
    <col min="8" max="8" width="40" customWidth="1"/>
    <col min="9" max="9" width="14" customWidth="1"/>
  </cols>
  <sheetData>
    <row r="1" spans="1:9" ht="32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</v>
      </c>
    </row>
    <row r="2" spans="1:9" ht="16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ht="16" x14ac:dyDescent="0.2">
      <c r="A3" s="2" t="s">
        <v>33</v>
      </c>
      <c r="B3" s="2" t="s">
        <v>34</v>
      </c>
      <c r="C3" s="2" t="s">
        <v>35</v>
      </c>
      <c r="D3" s="2" t="s">
        <v>27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32</v>
      </c>
    </row>
    <row r="4" spans="1:9" ht="32" x14ac:dyDescent="0.2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32</v>
      </c>
    </row>
    <row r="5" spans="1:9" ht="16" x14ac:dyDescent="0.2">
      <c r="A5" s="2" t="s">
        <v>48</v>
      </c>
      <c r="B5" s="2" t="s">
        <v>49</v>
      </c>
      <c r="C5" s="2" t="s">
        <v>35</v>
      </c>
      <c r="D5" s="2" t="s">
        <v>27</v>
      </c>
      <c r="E5" s="2" t="s">
        <v>50</v>
      </c>
      <c r="F5" s="2" t="s">
        <v>51</v>
      </c>
      <c r="G5" s="2" t="s">
        <v>30</v>
      </c>
      <c r="H5" s="2" t="s">
        <v>39</v>
      </c>
      <c r="I5" s="2" t="s">
        <v>32</v>
      </c>
    </row>
    <row r="6" spans="1:9" ht="48" x14ac:dyDescent="0.2">
      <c r="A6" s="3" t="s">
        <v>52</v>
      </c>
      <c r="B6" s="3" t="s">
        <v>53</v>
      </c>
      <c r="C6" s="3" t="s">
        <v>54</v>
      </c>
      <c r="D6" s="3" t="s">
        <v>27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</row>
    <row r="7" spans="1:9" ht="16" x14ac:dyDescent="0.2">
      <c r="A7" s="2" t="s">
        <v>60</v>
      </c>
      <c r="B7" s="2" t="s">
        <v>61</v>
      </c>
      <c r="C7" s="2" t="s">
        <v>42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32</v>
      </c>
    </row>
    <row r="8" spans="1:9" ht="16" x14ac:dyDescent="0.2">
      <c r="A8" s="2" t="s">
        <v>67</v>
      </c>
      <c r="B8" s="2" t="s">
        <v>68</v>
      </c>
      <c r="C8" s="2" t="s">
        <v>69</v>
      </c>
      <c r="D8" s="2" t="s">
        <v>62</v>
      </c>
      <c r="E8" s="2" t="s">
        <v>70</v>
      </c>
      <c r="F8" s="2" t="s">
        <v>71</v>
      </c>
      <c r="G8" s="2" t="s">
        <v>65</v>
      </c>
      <c r="H8" s="2" t="s">
        <v>72</v>
      </c>
      <c r="I8" s="2" t="s">
        <v>32</v>
      </c>
    </row>
    <row r="9" spans="1:9" ht="32" x14ac:dyDescent="0.2">
      <c r="A9" s="2" t="s">
        <v>73</v>
      </c>
      <c r="B9" s="2" t="s">
        <v>74</v>
      </c>
      <c r="C9" s="2" t="s">
        <v>35</v>
      </c>
      <c r="D9" s="2" t="s">
        <v>43</v>
      </c>
      <c r="E9" s="2" t="s">
        <v>75</v>
      </c>
      <c r="F9" s="2" t="s">
        <v>76</v>
      </c>
      <c r="G9" s="2" t="s">
        <v>38</v>
      </c>
      <c r="H9" s="2" t="s">
        <v>77</v>
      </c>
      <c r="I9" s="2" t="s">
        <v>78</v>
      </c>
    </row>
    <row r="10" spans="1:9" ht="32" x14ac:dyDescent="0.2">
      <c r="A10" s="2" t="s">
        <v>79</v>
      </c>
      <c r="B10" s="2" t="s">
        <v>80</v>
      </c>
      <c r="C10" s="2" t="s">
        <v>35</v>
      </c>
      <c r="D10" s="2" t="s">
        <v>43</v>
      </c>
      <c r="E10" s="2" t="s">
        <v>81</v>
      </c>
      <c r="F10" s="2" t="s">
        <v>82</v>
      </c>
      <c r="G10" s="2" t="s">
        <v>30</v>
      </c>
      <c r="H10" s="2" t="s">
        <v>83</v>
      </c>
      <c r="I10" s="2" t="s">
        <v>84</v>
      </c>
    </row>
    <row r="11" spans="1:9" ht="16" x14ac:dyDescent="0.2">
      <c r="A11" s="2" t="s">
        <v>85</v>
      </c>
      <c r="B11" s="2" t="s">
        <v>86</v>
      </c>
      <c r="C11" s="2" t="s">
        <v>87</v>
      </c>
      <c r="D11" s="2" t="s">
        <v>27</v>
      </c>
      <c r="E11" s="2" t="s">
        <v>88</v>
      </c>
      <c r="F11" s="2" t="s">
        <v>89</v>
      </c>
      <c r="G11" s="2" t="s">
        <v>38</v>
      </c>
      <c r="H11" s="2" t="s">
        <v>90</v>
      </c>
      <c r="I11" s="2" t="s">
        <v>32</v>
      </c>
    </row>
    <row r="12" spans="1:9" ht="16" x14ac:dyDescent="0.2">
      <c r="A12" s="2" t="s">
        <v>91</v>
      </c>
      <c r="B12" s="2" t="s">
        <v>92</v>
      </c>
      <c r="C12" s="2" t="s">
        <v>42</v>
      </c>
      <c r="D12" s="2" t="s">
        <v>27</v>
      </c>
      <c r="E12" s="2" t="s">
        <v>93</v>
      </c>
      <c r="F12" s="2" t="s">
        <v>94</v>
      </c>
      <c r="G12" s="2" t="s">
        <v>38</v>
      </c>
      <c r="H12" s="2" t="s">
        <v>95</v>
      </c>
      <c r="I12" s="2" t="s">
        <v>32</v>
      </c>
    </row>
    <row r="13" spans="1:9" ht="48" x14ac:dyDescent="0.2">
      <c r="A13" s="3" t="s">
        <v>96</v>
      </c>
      <c r="B13" s="3" t="s">
        <v>97</v>
      </c>
      <c r="C13" s="3" t="s">
        <v>54</v>
      </c>
      <c r="D13" s="3" t="s">
        <v>27</v>
      </c>
      <c r="E13" s="3" t="s">
        <v>98</v>
      </c>
      <c r="F13" s="3" t="s">
        <v>99</v>
      </c>
      <c r="G13" s="3" t="s">
        <v>57</v>
      </c>
      <c r="H13" s="3" t="s">
        <v>100</v>
      </c>
      <c r="I13" s="3" t="s">
        <v>101</v>
      </c>
    </row>
    <row r="14" spans="1:9" ht="48" x14ac:dyDescent="0.2">
      <c r="A14" s="3" t="s">
        <v>102</v>
      </c>
      <c r="B14" s="3" t="s">
        <v>103</v>
      </c>
      <c r="C14" s="3" t="s">
        <v>54</v>
      </c>
      <c r="D14" s="3" t="s">
        <v>27</v>
      </c>
      <c r="E14" s="3" t="s">
        <v>104</v>
      </c>
      <c r="F14" s="3" t="s">
        <v>105</v>
      </c>
      <c r="G14" s="3" t="s">
        <v>57</v>
      </c>
      <c r="H14" s="3" t="s">
        <v>100</v>
      </c>
      <c r="I14" s="3" t="s">
        <v>101</v>
      </c>
    </row>
    <row r="15" spans="1:9" ht="32" x14ac:dyDescent="0.2">
      <c r="A15" s="3" t="s">
        <v>106</v>
      </c>
      <c r="B15" s="3" t="s">
        <v>107</v>
      </c>
      <c r="C15" s="3" t="s">
        <v>108</v>
      </c>
      <c r="D15" s="3" t="s">
        <v>27</v>
      </c>
      <c r="E15" s="3" t="s">
        <v>109</v>
      </c>
      <c r="F15" s="3" t="s">
        <v>110</v>
      </c>
      <c r="G15" s="3" t="s">
        <v>111</v>
      </c>
      <c r="H15" s="3" t="s">
        <v>112</v>
      </c>
      <c r="I15" s="3" t="s">
        <v>101</v>
      </c>
    </row>
    <row r="16" spans="1:9" ht="32" x14ac:dyDescent="0.2">
      <c r="A16" s="3" t="s">
        <v>113</v>
      </c>
      <c r="B16" s="3" t="s">
        <v>114</v>
      </c>
      <c r="C16" s="3" t="s">
        <v>108</v>
      </c>
      <c r="D16" s="3" t="s">
        <v>27</v>
      </c>
      <c r="E16" s="3" t="s">
        <v>115</v>
      </c>
      <c r="F16" s="3" t="s">
        <v>116</v>
      </c>
      <c r="G16" s="3" t="s">
        <v>117</v>
      </c>
      <c r="H16" s="3" t="s">
        <v>118</v>
      </c>
      <c r="I16" s="3" t="s">
        <v>101</v>
      </c>
    </row>
    <row r="17" spans="1:9" ht="48" x14ac:dyDescent="0.2">
      <c r="A17" s="3" t="s">
        <v>119</v>
      </c>
      <c r="B17" s="3" t="s">
        <v>120</v>
      </c>
      <c r="C17" s="3" t="s">
        <v>87</v>
      </c>
      <c r="D17" s="3" t="s">
        <v>121</v>
      </c>
      <c r="E17" s="3" t="s">
        <v>122</v>
      </c>
      <c r="F17" s="3" t="s">
        <v>123</v>
      </c>
      <c r="G17" s="3" t="s">
        <v>65</v>
      </c>
      <c r="H17" s="3" t="s">
        <v>124</v>
      </c>
      <c r="I17" s="3" t="s">
        <v>101</v>
      </c>
    </row>
    <row r="18" spans="1:9" ht="48" x14ac:dyDescent="0.2">
      <c r="A18" s="3" t="s">
        <v>125</v>
      </c>
      <c r="B18" s="3" t="s">
        <v>126</v>
      </c>
      <c r="C18" s="3" t="s">
        <v>127</v>
      </c>
      <c r="D18" s="3" t="s">
        <v>27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132</v>
      </c>
    </row>
    <row r="19" spans="1:9" ht="32" x14ac:dyDescent="0.2">
      <c r="A19" s="3" t="s">
        <v>133</v>
      </c>
      <c r="B19" s="3" t="s">
        <v>134</v>
      </c>
      <c r="C19" s="3" t="s">
        <v>54</v>
      </c>
      <c r="D19" s="3" t="s">
        <v>27</v>
      </c>
      <c r="E19" s="3" t="s">
        <v>135</v>
      </c>
      <c r="F19" s="3" t="s">
        <v>136</v>
      </c>
      <c r="G19" s="3" t="s">
        <v>137</v>
      </c>
      <c r="H19" s="3" t="s">
        <v>138</v>
      </c>
      <c r="I19" s="3" t="s">
        <v>132</v>
      </c>
    </row>
    <row r="20" spans="1:9" ht="32" x14ac:dyDescent="0.2">
      <c r="A20" s="3" t="s">
        <v>139</v>
      </c>
      <c r="B20" s="3" t="s">
        <v>140</v>
      </c>
      <c r="C20" s="3" t="s">
        <v>141</v>
      </c>
      <c r="D20" s="3" t="s">
        <v>27</v>
      </c>
      <c r="E20" s="3" t="s">
        <v>142</v>
      </c>
      <c r="F20" s="3" t="s">
        <v>143</v>
      </c>
      <c r="G20" s="3" t="s">
        <v>144</v>
      </c>
      <c r="H20" s="3" t="s">
        <v>145</v>
      </c>
      <c r="I20" s="3" t="s">
        <v>132</v>
      </c>
    </row>
    <row r="21" spans="1:9" ht="32" x14ac:dyDescent="0.2">
      <c r="A21" s="3" t="s">
        <v>146</v>
      </c>
      <c r="B21" s="3" t="s">
        <v>147</v>
      </c>
      <c r="C21" s="3" t="s">
        <v>148</v>
      </c>
      <c r="D21" s="3" t="s">
        <v>27</v>
      </c>
      <c r="E21" s="3" t="s">
        <v>149</v>
      </c>
      <c r="F21" s="3" t="s">
        <v>150</v>
      </c>
      <c r="G21" s="3" t="s">
        <v>65</v>
      </c>
      <c r="H21" s="3" t="s">
        <v>151</v>
      </c>
      <c r="I21" s="3" t="s">
        <v>132</v>
      </c>
    </row>
    <row r="22" spans="1:9" ht="48" x14ac:dyDescent="0.2">
      <c r="A22" s="3" t="s">
        <v>152</v>
      </c>
      <c r="B22" s="3" t="s">
        <v>153</v>
      </c>
      <c r="C22" s="3" t="s">
        <v>141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3" t="s">
        <v>159</v>
      </c>
    </row>
    <row r="23" spans="1:9" ht="32" x14ac:dyDescent="0.2">
      <c r="A23" s="3" t="s">
        <v>160</v>
      </c>
      <c r="B23" s="3" t="s">
        <v>161</v>
      </c>
      <c r="C23" s="3" t="s">
        <v>141</v>
      </c>
      <c r="D23" s="3" t="s">
        <v>27</v>
      </c>
      <c r="E23" s="3" t="s">
        <v>162</v>
      </c>
      <c r="F23" s="3" t="s">
        <v>163</v>
      </c>
      <c r="G23" s="3" t="s">
        <v>117</v>
      </c>
      <c r="H23" s="3" t="s">
        <v>164</v>
      </c>
      <c r="I23" s="3" t="s">
        <v>159</v>
      </c>
    </row>
    <row r="24" spans="1:9" ht="32" x14ac:dyDescent="0.2">
      <c r="A24" s="3" t="s">
        <v>165</v>
      </c>
      <c r="B24" s="3" t="s">
        <v>166</v>
      </c>
      <c r="C24" s="3" t="s">
        <v>141</v>
      </c>
      <c r="D24" s="3" t="s">
        <v>27</v>
      </c>
      <c r="E24" s="3" t="s">
        <v>167</v>
      </c>
      <c r="F24" s="3" t="s">
        <v>168</v>
      </c>
      <c r="G24" s="3" t="s">
        <v>38</v>
      </c>
      <c r="H24" s="3" t="s">
        <v>169</v>
      </c>
      <c r="I24" s="3" t="s">
        <v>159</v>
      </c>
    </row>
    <row r="25" spans="1:9" ht="32" x14ac:dyDescent="0.2">
      <c r="A25" s="3" t="s">
        <v>170</v>
      </c>
      <c r="B25" s="3" t="s">
        <v>171</v>
      </c>
      <c r="C25" s="3" t="s">
        <v>35</v>
      </c>
      <c r="D25" s="3" t="s">
        <v>62</v>
      </c>
      <c r="E25" s="3" t="s">
        <v>172</v>
      </c>
      <c r="F25" s="3" t="s">
        <v>173</v>
      </c>
      <c r="G25" s="3" t="s">
        <v>30</v>
      </c>
      <c r="H25" s="3" t="s">
        <v>174</v>
      </c>
      <c r="I25" s="3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1" customWidth="1"/>
    <col min="3" max="3" width="46" customWidth="1"/>
    <col min="4" max="5" width="34" customWidth="1"/>
    <col min="6" max="6" width="22" customWidth="1"/>
  </cols>
  <sheetData>
    <row r="1" spans="1:6" ht="16" x14ac:dyDescent="0.2">
      <c r="A1" s="1" t="s">
        <v>175</v>
      </c>
      <c r="B1" s="1" t="s">
        <v>18</v>
      </c>
      <c r="C1" s="1" t="s">
        <v>176</v>
      </c>
      <c r="D1" s="1" t="s">
        <v>177</v>
      </c>
      <c r="E1" s="1" t="s">
        <v>178</v>
      </c>
      <c r="F1" s="1" t="s">
        <v>2</v>
      </c>
    </row>
    <row r="2" spans="1:6" ht="16" x14ac:dyDescent="0.2">
      <c r="A2" s="2" t="s">
        <v>179</v>
      </c>
      <c r="B2" s="2" t="s">
        <v>35</v>
      </c>
      <c r="C2" s="2" t="s">
        <v>180</v>
      </c>
      <c r="D2" s="2" t="s">
        <v>181</v>
      </c>
      <c r="E2" s="2" t="s">
        <v>182</v>
      </c>
      <c r="F2" s="2" t="s">
        <v>32</v>
      </c>
    </row>
    <row r="3" spans="1:6" ht="16" x14ac:dyDescent="0.2">
      <c r="A3" s="2" t="s">
        <v>183</v>
      </c>
      <c r="B3" s="2" t="s">
        <v>35</v>
      </c>
      <c r="C3" s="2" t="s">
        <v>184</v>
      </c>
      <c r="D3" s="2" t="s">
        <v>185</v>
      </c>
      <c r="E3" s="2" t="s">
        <v>186</v>
      </c>
      <c r="F3" s="2" t="s">
        <v>32</v>
      </c>
    </row>
    <row r="4" spans="1:6" ht="16" x14ac:dyDescent="0.2">
      <c r="A4" s="2" t="s">
        <v>187</v>
      </c>
      <c r="B4" s="2" t="s">
        <v>35</v>
      </c>
      <c r="C4" s="2" t="s">
        <v>188</v>
      </c>
      <c r="D4" s="2" t="s">
        <v>189</v>
      </c>
      <c r="E4" s="2" t="s">
        <v>190</v>
      </c>
      <c r="F4" s="2" t="s">
        <v>32</v>
      </c>
    </row>
    <row r="5" spans="1:6" ht="16" x14ac:dyDescent="0.2">
      <c r="A5" s="2" t="s">
        <v>191</v>
      </c>
      <c r="B5" s="2" t="s">
        <v>141</v>
      </c>
      <c r="C5" s="2" t="s">
        <v>192</v>
      </c>
      <c r="D5" s="2" t="s">
        <v>193</v>
      </c>
      <c r="E5" s="2" t="s">
        <v>190</v>
      </c>
      <c r="F5" s="2" t="s">
        <v>32</v>
      </c>
    </row>
    <row r="6" spans="1:6" ht="16" x14ac:dyDescent="0.2">
      <c r="A6" s="3" t="s">
        <v>194</v>
      </c>
      <c r="B6" s="3" t="s">
        <v>54</v>
      </c>
      <c r="C6" s="3" t="s">
        <v>195</v>
      </c>
      <c r="D6" s="3" t="s">
        <v>196</v>
      </c>
      <c r="E6" s="3" t="s">
        <v>197</v>
      </c>
      <c r="F6" s="3" t="s">
        <v>101</v>
      </c>
    </row>
    <row r="7" spans="1:6" ht="16" x14ac:dyDescent="0.2">
      <c r="A7" s="3" t="s">
        <v>198</v>
      </c>
      <c r="B7" s="3" t="s">
        <v>108</v>
      </c>
      <c r="C7" s="3" t="s">
        <v>199</v>
      </c>
      <c r="D7" s="3" t="s">
        <v>200</v>
      </c>
      <c r="E7" s="3" t="s">
        <v>201</v>
      </c>
      <c r="F7" s="3" t="s">
        <v>101</v>
      </c>
    </row>
    <row r="8" spans="1:6" ht="32" x14ac:dyDescent="0.2">
      <c r="A8" s="2" t="s">
        <v>202</v>
      </c>
      <c r="B8" s="2" t="s">
        <v>87</v>
      </c>
      <c r="C8" s="2" t="s">
        <v>203</v>
      </c>
      <c r="D8" s="2" t="s">
        <v>204</v>
      </c>
      <c r="E8" s="2" t="s">
        <v>205</v>
      </c>
      <c r="F8" s="2" t="s">
        <v>32</v>
      </c>
    </row>
    <row r="9" spans="1:6" ht="16" x14ac:dyDescent="0.2">
      <c r="A9" s="2" t="s">
        <v>206</v>
      </c>
      <c r="B9" s="2" t="s">
        <v>87</v>
      </c>
      <c r="C9" s="2" t="s">
        <v>207</v>
      </c>
      <c r="D9" s="2" t="s">
        <v>208</v>
      </c>
      <c r="E9" s="2" t="s">
        <v>190</v>
      </c>
      <c r="F9" s="2" t="s">
        <v>32</v>
      </c>
    </row>
    <row r="10" spans="1:6" ht="16" x14ac:dyDescent="0.2">
      <c r="A10" s="3" t="s">
        <v>209</v>
      </c>
      <c r="B10" s="3" t="s">
        <v>87</v>
      </c>
      <c r="C10" s="3" t="s">
        <v>210</v>
      </c>
      <c r="D10" s="3" t="s">
        <v>211</v>
      </c>
      <c r="E10" s="3" t="s">
        <v>119</v>
      </c>
      <c r="F10" s="3" t="s">
        <v>101</v>
      </c>
    </row>
    <row r="11" spans="1:6" ht="16" x14ac:dyDescent="0.2">
      <c r="A11" s="2" t="s">
        <v>212</v>
      </c>
      <c r="B11" s="2" t="s">
        <v>87</v>
      </c>
      <c r="C11" s="2" t="s">
        <v>213</v>
      </c>
      <c r="D11" s="2" t="s">
        <v>214</v>
      </c>
      <c r="E11" s="2" t="s">
        <v>190</v>
      </c>
      <c r="F11" s="2" t="s">
        <v>32</v>
      </c>
    </row>
    <row r="12" spans="1:6" ht="32" x14ac:dyDescent="0.2">
      <c r="A12" s="2" t="s">
        <v>215</v>
      </c>
      <c r="B12" s="2" t="s">
        <v>148</v>
      </c>
      <c r="C12" s="2" t="s">
        <v>216</v>
      </c>
      <c r="D12" s="2" t="s">
        <v>217</v>
      </c>
      <c r="E12" s="2" t="s">
        <v>218</v>
      </c>
      <c r="F12" s="2" t="s">
        <v>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60" customWidth="1"/>
    <col min="3" max="3" width="12" customWidth="1"/>
    <col min="4" max="4" width="46" customWidth="1"/>
  </cols>
  <sheetData>
    <row r="1" spans="1:4" ht="16" x14ac:dyDescent="0.2">
      <c r="A1" s="1" t="s">
        <v>220</v>
      </c>
      <c r="B1" s="1" t="s">
        <v>221</v>
      </c>
      <c r="C1" s="1" t="s">
        <v>222</v>
      </c>
      <c r="D1" s="1" t="s">
        <v>23</v>
      </c>
    </row>
    <row r="2" spans="1:4" ht="16" x14ac:dyDescent="0.2">
      <c r="A2" s="2" t="s">
        <v>223</v>
      </c>
      <c r="B2" s="2" t="s">
        <v>224</v>
      </c>
      <c r="C2" s="2">
        <v>4</v>
      </c>
      <c r="D2" s="2" t="s">
        <v>225</v>
      </c>
    </row>
    <row r="3" spans="1:4" ht="16" x14ac:dyDescent="0.2">
      <c r="A3" s="2" t="s">
        <v>226</v>
      </c>
      <c r="B3" s="2" t="s">
        <v>227</v>
      </c>
      <c r="C3" s="2">
        <v>3</v>
      </c>
      <c r="D3" s="2" t="s">
        <v>228</v>
      </c>
    </row>
    <row r="4" spans="1:4" ht="32" x14ac:dyDescent="0.2">
      <c r="A4" s="2" t="s">
        <v>229</v>
      </c>
      <c r="B4" s="2" t="s">
        <v>230</v>
      </c>
      <c r="C4" s="2">
        <v>7</v>
      </c>
      <c r="D4" s="2" t="s">
        <v>231</v>
      </c>
    </row>
    <row r="5" spans="1:4" ht="16" x14ac:dyDescent="0.2">
      <c r="A5" s="2" t="s">
        <v>232</v>
      </c>
      <c r="B5" s="2" t="s">
        <v>233</v>
      </c>
      <c r="C5" s="2">
        <v>3</v>
      </c>
      <c r="D5" s="2" t="s">
        <v>234</v>
      </c>
    </row>
    <row r="6" spans="1:4" ht="16" x14ac:dyDescent="0.2">
      <c r="A6" s="2" t="s">
        <v>235</v>
      </c>
      <c r="B6" s="2" t="s">
        <v>236</v>
      </c>
      <c r="C6" s="2">
        <v>3</v>
      </c>
      <c r="D6" s="2" t="s">
        <v>66</v>
      </c>
    </row>
    <row r="7" spans="1:4" ht="16" x14ac:dyDescent="0.2">
      <c r="A7" s="2" t="s">
        <v>237</v>
      </c>
      <c r="B7" s="2" t="s">
        <v>238</v>
      </c>
      <c r="C7" s="2">
        <v>2</v>
      </c>
      <c r="D7" s="2" t="s">
        <v>239</v>
      </c>
    </row>
    <row r="8" spans="1:4" ht="32" x14ac:dyDescent="0.2">
      <c r="A8" s="2" t="s">
        <v>240</v>
      </c>
      <c r="B8" s="2"/>
      <c r="C8" s="2">
        <f>PRODUCT(C2:C7)</f>
        <v>1512</v>
      </c>
      <c r="D8" s="2" t="s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40" customWidth="1"/>
    <col min="3" max="3" width="34" customWidth="1"/>
    <col min="4" max="4" width="26" customWidth="1"/>
  </cols>
  <sheetData>
    <row r="1" spans="1:4" ht="16" x14ac:dyDescent="0.2">
      <c r="A1" s="1" t="s">
        <v>242</v>
      </c>
      <c r="B1" s="1" t="s">
        <v>243</v>
      </c>
      <c r="C1" s="1" t="s">
        <v>244</v>
      </c>
      <c r="D1" s="1" t="s">
        <v>245</v>
      </c>
    </row>
    <row r="2" spans="1:4" ht="16" x14ac:dyDescent="0.2">
      <c r="A2" s="2" t="s">
        <v>246</v>
      </c>
      <c r="B2" s="2" t="s">
        <v>247</v>
      </c>
      <c r="C2" s="2" t="s">
        <v>248</v>
      </c>
      <c r="D2" s="2" t="s">
        <v>249</v>
      </c>
    </row>
    <row r="3" spans="1:4" ht="16" x14ac:dyDescent="0.2">
      <c r="A3" s="2" t="s">
        <v>250</v>
      </c>
      <c r="B3" s="2" t="s">
        <v>251</v>
      </c>
      <c r="C3" s="2" t="s">
        <v>252</v>
      </c>
      <c r="D3" s="2" t="s">
        <v>249</v>
      </c>
    </row>
    <row r="4" spans="1:4" ht="16" x14ac:dyDescent="0.2">
      <c r="A4" s="2" t="s">
        <v>253</v>
      </c>
      <c r="B4" s="2" t="s">
        <v>254</v>
      </c>
      <c r="C4" s="2" t="s">
        <v>255</v>
      </c>
      <c r="D4" s="2" t="s">
        <v>249</v>
      </c>
    </row>
    <row r="5" spans="1:4" ht="16" x14ac:dyDescent="0.2">
      <c r="A5" s="2" t="s">
        <v>256</v>
      </c>
      <c r="B5" s="2" t="s">
        <v>257</v>
      </c>
      <c r="C5" s="2" t="s">
        <v>258</v>
      </c>
      <c r="D5" s="2" t="s">
        <v>259</v>
      </c>
    </row>
    <row r="6" spans="1:4" ht="16" x14ac:dyDescent="0.2">
      <c r="A6" s="2" t="s">
        <v>260</v>
      </c>
      <c r="B6" s="2" t="s">
        <v>261</v>
      </c>
      <c r="C6" s="2" t="s">
        <v>262</v>
      </c>
      <c r="D6" s="2" t="s">
        <v>263</v>
      </c>
    </row>
    <row r="7" spans="1:4" ht="16" x14ac:dyDescent="0.2">
      <c r="A7" s="2" t="s">
        <v>264</v>
      </c>
      <c r="B7" s="2" t="s">
        <v>265</v>
      </c>
      <c r="C7" s="2" t="s">
        <v>266</v>
      </c>
      <c r="D7" s="2" t="s">
        <v>267</v>
      </c>
    </row>
    <row r="8" spans="1:4" ht="16" x14ac:dyDescent="0.2">
      <c r="A8" s="2" t="s">
        <v>268</v>
      </c>
      <c r="B8" s="2" t="s">
        <v>269</v>
      </c>
      <c r="C8" s="2" t="s">
        <v>270</v>
      </c>
      <c r="D8" s="2" t="s">
        <v>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46" customWidth="1"/>
    <col min="3" max="3" width="90" customWidth="1"/>
    <col min="4" max="4" width="36" customWidth="1"/>
  </cols>
  <sheetData>
    <row r="1" spans="1:4" ht="16" x14ac:dyDescent="0.2">
      <c r="A1" s="1" t="s">
        <v>1736</v>
      </c>
      <c r="B1" s="1" t="s">
        <v>273</v>
      </c>
      <c r="C1" s="1" t="s">
        <v>274</v>
      </c>
      <c r="D1" s="1" t="s">
        <v>275</v>
      </c>
    </row>
    <row r="2" spans="1:4" ht="16" x14ac:dyDescent="0.2">
      <c r="A2" s="2" t="s">
        <v>276</v>
      </c>
      <c r="B2" s="2" t="s">
        <v>277</v>
      </c>
      <c r="C2" s="2" t="s">
        <v>278</v>
      </c>
      <c r="D2" s="2" t="s">
        <v>279</v>
      </c>
    </row>
    <row r="3" spans="1:4" ht="16" x14ac:dyDescent="0.2">
      <c r="A3" s="2" t="s">
        <v>276</v>
      </c>
      <c r="B3" s="2" t="s">
        <v>280</v>
      </c>
      <c r="C3" s="2" t="s">
        <v>281</v>
      </c>
      <c r="D3" s="2" t="s">
        <v>279</v>
      </c>
    </row>
    <row r="4" spans="1:4" ht="16" x14ac:dyDescent="0.2">
      <c r="A4" s="2" t="s">
        <v>276</v>
      </c>
      <c r="B4" s="2" t="s">
        <v>282</v>
      </c>
      <c r="C4" s="2">
        <v>74</v>
      </c>
      <c r="D4" s="2" t="s">
        <v>283</v>
      </c>
    </row>
    <row r="5" spans="1:4" ht="32" x14ac:dyDescent="0.2">
      <c r="A5" s="2" t="s">
        <v>276</v>
      </c>
      <c r="B5" s="2" t="s">
        <v>284</v>
      </c>
      <c r="C5" s="2" t="s">
        <v>285</v>
      </c>
      <c r="D5" s="2" t="s">
        <v>286</v>
      </c>
    </row>
    <row r="6" spans="1:4" ht="16" x14ac:dyDescent="0.2">
      <c r="A6" s="2" t="s">
        <v>276</v>
      </c>
      <c r="B6" s="2" t="s">
        <v>287</v>
      </c>
      <c r="C6" s="2" t="s">
        <v>288</v>
      </c>
      <c r="D6" s="2" t="s">
        <v>289</v>
      </c>
    </row>
    <row r="7" spans="1:4" ht="16" x14ac:dyDescent="0.2">
      <c r="A7" s="2" t="s">
        <v>276</v>
      </c>
      <c r="B7" s="2" t="s">
        <v>290</v>
      </c>
      <c r="C7" s="2" t="s">
        <v>291</v>
      </c>
      <c r="D7" s="2" t="s">
        <v>279</v>
      </c>
    </row>
    <row r="8" spans="1:4" ht="16" x14ac:dyDescent="0.2">
      <c r="A8" s="2" t="s">
        <v>276</v>
      </c>
      <c r="B8" s="2" t="s">
        <v>292</v>
      </c>
      <c r="C8" s="2" t="s">
        <v>293</v>
      </c>
      <c r="D8" s="2" t="s">
        <v>283</v>
      </c>
    </row>
    <row r="9" spans="1:4" ht="16" x14ac:dyDescent="0.2">
      <c r="A9" s="2" t="s">
        <v>276</v>
      </c>
      <c r="B9" s="2" t="s">
        <v>294</v>
      </c>
      <c r="C9" s="2" t="s">
        <v>295</v>
      </c>
      <c r="D9" s="2" t="s">
        <v>283</v>
      </c>
    </row>
    <row r="10" spans="1:4" ht="16" x14ac:dyDescent="0.2">
      <c r="A10" s="2" t="s">
        <v>276</v>
      </c>
      <c r="B10" s="2" t="s">
        <v>296</v>
      </c>
      <c r="C10" s="2" t="s">
        <v>297</v>
      </c>
      <c r="D10" s="2" t="s">
        <v>283</v>
      </c>
    </row>
    <row r="11" spans="1:4" ht="16" x14ac:dyDescent="0.2">
      <c r="A11" s="2" t="s">
        <v>298</v>
      </c>
      <c r="B11" s="2" t="s">
        <v>277</v>
      </c>
      <c r="C11" s="2" t="s">
        <v>299</v>
      </c>
      <c r="D11" s="2" t="s">
        <v>279</v>
      </c>
    </row>
    <row r="12" spans="1:4" ht="16" x14ac:dyDescent="0.2">
      <c r="A12" s="2" t="s">
        <v>298</v>
      </c>
      <c r="B12" s="2" t="s">
        <v>280</v>
      </c>
      <c r="C12" s="2" t="s">
        <v>300</v>
      </c>
      <c r="D12" s="2" t="s">
        <v>279</v>
      </c>
    </row>
    <row r="13" spans="1:4" ht="16" x14ac:dyDescent="0.2">
      <c r="A13" s="2" t="s">
        <v>298</v>
      </c>
      <c r="B13" s="2" t="s">
        <v>282</v>
      </c>
      <c r="C13" s="2">
        <v>39</v>
      </c>
      <c r="D13" s="2" t="s">
        <v>283</v>
      </c>
    </row>
    <row r="14" spans="1:4" ht="48" x14ac:dyDescent="0.2">
      <c r="A14" s="2" t="s">
        <v>298</v>
      </c>
      <c r="B14" s="2" t="s">
        <v>284</v>
      </c>
      <c r="C14" s="2" t="s">
        <v>301</v>
      </c>
      <c r="D14" s="2" t="s">
        <v>286</v>
      </c>
    </row>
    <row r="15" spans="1:4" ht="16" x14ac:dyDescent="0.2">
      <c r="A15" s="2" t="s">
        <v>298</v>
      </c>
      <c r="B15" s="2" t="s">
        <v>287</v>
      </c>
      <c r="C15" s="2" t="s">
        <v>302</v>
      </c>
      <c r="D15" s="2" t="s">
        <v>289</v>
      </c>
    </row>
    <row r="16" spans="1:4" ht="16" x14ac:dyDescent="0.2">
      <c r="A16" s="2" t="s">
        <v>298</v>
      </c>
      <c r="B16" s="2" t="s">
        <v>290</v>
      </c>
      <c r="C16" s="2" t="s">
        <v>303</v>
      </c>
      <c r="D16" s="2" t="s">
        <v>279</v>
      </c>
    </row>
    <row r="17" spans="1:4" ht="16" x14ac:dyDescent="0.2">
      <c r="A17" s="2" t="s">
        <v>298</v>
      </c>
      <c r="B17" s="2" t="s">
        <v>292</v>
      </c>
      <c r="C17" s="2" t="s">
        <v>304</v>
      </c>
      <c r="D17" s="2" t="s">
        <v>283</v>
      </c>
    </row>
    <row r="18" spans="1:4" ht="16" x14ac:dyDescent="0.2">
      <c r="A18" s="2" t="s">
        <v>298</v>
      </c>
      <c r="B18" s="2" t="s">
        <v>294</v>
      </c>
      <c r="C18" s="2" t="s">
        <v>305</v>
      </c>
      <c r="D18" s="2" t="s">
        <v>283</v>
      </c>
    </row>
    <row r="19" spans="1:4" ht="16" x14ac:dyDescent="0.2">
      <c r="A19" s="2" t="s">
        <v>298</v>
      </c>
      <c r="B19" s="2" t="s">
        <v>296</v>
      </c>
      <c r="C19" s="2" t="s">
        <v>306</v>
      </c>
      <c r="D19" s="2" t="s">
        <v>283</v>
      </c>
    </row>
    <row r="20" spans="1:4" ht="16" x14ac:dyDescent="0.2">
      <c r="A20" s="2" t="s">
        <v>307</v>
      </c>
      <c r="B20" s="2" t="s">
        <v>277</v>
      </c>
      <c r="C20" s="2" t="s">
        <v>308</v>
      </c>
      <c r="D20" s="2" t="s">
        <v>279</v>
      </c>
    </row>
    <row r="21" spans="1:4" ht="16" x14ac:dyDescent="0.2">
      <c r="A21" s="2" t="s">
        <v>307</v>
      </c>
      <c r="B21" s="2" t="s">
        <v>280</v>
      </c>
      <c r="C21" s="2" t="s">
        <v>309</v>
      </c>
      <c r="D21" s="2" t="s">
        <v>279</v>
      </c>
    </row>
    <row r="22" spans="1:4" ht="16" x14ac:dyDescent="0.2">
      <c r="A22" s="2" t="s">
        <v>307</v>
      </c>
      <c r="B22" s="2" t="s">
        <v>282</v>
      </c>
      <c r="C22" s="2">
        <v>11</v>
      </c>
      <c r="D22" s="2" t="s">
        <v>283</v>
      </c>
    </row>
    <row r="23" spans="1:4" ht="32" x14ac:dyDescent="0.2">
      <c r="A23" s="2" t="s">
        <v>307</v>
      </c>
      <c r="B23" s="2" t="s">
        <v>284</v>
      </c>
      <c r="C23" s="2" t="s">
        <v>310</v>
      </c>
      <c r="D23" s="2" t="s">
        <v>286</v>
      </c>
    </row>
    <row r="24" spans="1:4" ht="16" x14ac:dyDescent="0.2">
      <c r="A24" s="2" t="s">
        <v>307</v>
      </c>
      <c r="B24" s="2" t="s">
        <v>287</v>
      </c>
      <c r="C24" s="2" t="s">
        <v>311</v>
      </c>
      <c r="D24" s="2" t="s">
        <v>289</v>
      </c>
    </row>
    <row r="25" spans="1:4" ht="16" x14ac:dyDescent="0.2">
      <c r="A25" s="2" t="s">
        <v>307</v>
      </c>
      <c r="B25" s="2" t="s">
        <v>290</v>
      </c>
      <c r="C25" s="2" t="s">
        <v>312</v>
      </c>
      <c r="D25" s="2" t="s">
        <v>279</v>
      </c>
    </row>
    <row r="26" spans="1:4" ht="16" x14ac:dyDescent="0.2">
      <c r="A26" s="2" t="s">
        <v>307</v>
      </c>
      <c r="B26" s="2" t="s">
        <v>292</v>
      </c>
      <c r="C26" s="2" t="s">
        <v>313</v>
      </c>
      <c r="D26" s="2" t="s">
        <v>283</v>
      </c>
    </row>
    <row r="27" spans="1:4" ht="16" x14ac:dyDescent="0.2">
      <c r="A27" s="2" t="s">
        <v>307</v>
      </c>
      <c r="B27" s="2" t="s">
        <v>294</v>
      </c>
      <c r="C27" s="2" t="s">
        <v>314</v>
      </c>
      <c r="D27" s="2" t="s">
        <v>283</v>
      </c>
    </row>
    <row r="28" spans="1:4" ht="16" x14ac:dyDescent="0.2">
      <c r="A28" s="2" t="s">
        <v>307</v>
      </c>
      <c r="B28" s="2" t="s">
        <v>296</v>
      </c>
      <c r="C28" s="2" t="s">
        <v>315</v>
      </c>
      <c r="D28" s="2" t="s">
        <v>283</v>
      </c>
    </row>
    <row r="29" spans="1:4" ht="16" x14ac:dyDescent="0.2">
      <c r="A29" s="2" t="s">
        <v>316</v>
      </c>
      <c r="B29" s="2" t="s">
        <v>277</v>
      </c>
      <c r="C29" s="2" t="s">
        <v>317</v>
      </c>
      <c r="D29" s="2" t="s">
        <v>279</v>
      </c>
    </row>
    <row r="30" spans="1:4" ht="16" x14ac:dyDescent="0.2">
      <c r="A30" s="2" t="s">
        <v>316</v>
      </c>
      <c r="B30" s="2" t="s">
        <v>280</v>
      </c>
      <c r="C30" s="2" t="s">
        <v>318</v>
      </c>
      <c r="D30" s="2" t="s">
        <v>279</v>
      </c>
    </row>
    <row r="31" spans="1:4" ht="16" x14ac:dyDescent="0.2">
      <c r="A31" s="2" t="s">
        <v>316</v>
      </c>
      <c r="B31" s="2" t="s">
        <v>282</v>
      </c>
      <c r="C31" s="2">
        <v>31</v>
      </c>
      <c r="D31" s="2" t="s">
        <v>283</v>
      </c>
    </row>
    <row r="32" spans="1:4" ht="32" x14ac:dyDescent="0.2">
      <c r="A32" s="2" t="s">
        <v>316</v>
      </c>
      <c r="B32" s="2" t="s">
        <v>284</v>
      </c>
      <c r="C32" s="2" t="s">
        <v>319</v>
      </c>
      <c r="D32" s="2" t="s">
        <v>286</v>
      </c>
    </row>
    <row r="33" spans="1:4" ht="16" x14ac:dyDescent="0.2">
      <c r="A33" s="2" t="s">
        <v>316</v>
      </c>
      <c r="B33" s="2" t="s">
        <v>287</v>
      </c>
      <c r="C33" s="2" t="s">
        <v>320</v>
      </c>
      <c r="D33" s="2" t="s">
        <v>289</v>
      </c>
    </row>
    <row r="34" spans="1:4" ht="16" x14ac:dyDescent="0.2">
      <c r="A34" s="2" t="s">
        <v>316</v>
      </c>
      <c r="B34" s="2" t="s">
        <v>290</v>
      </c>
      <c r="C34" s="2" t="s">
        <v>321</v>
      </c>
      <c r="D34" s="2" t="s">
        <v>279</v>
      </c>
    </row>
    <row r="35" spans="1:4" ht="16" x14ac:dyDescent="0.2">
      <c r="A35" s="2" t="s">
        <v>316</v>
      </c>
      <c r="B35" s="2" t="s">
        <v>292</v>
      </c>
      <c r="C35" s="2" t="s">
        <v>322</v>
      </c>
      <c r="D35" s="2" t="s">
        <v>283</v>
      </c>
    </row>
    <row r="36" spans="1:4" ht="16" x14ac:dyDescent="0.2">
      <c r="A36" s="2" t="s">
        <v>316</v>
      </c>
      <c r="B36" s="2" t="s">
        <v>294</v>
      </c>
      <c r="C36" s="2" t="s">
        <v>323</v>
      </c>
      <c r="D36" s="2" t="s">
        <v>283</v>
      </c>
    </row>
    <row r="37" spans="1:4" ht="16" x14ac:dyDescent="0.2">
      <c r="A37" s="2" t="s">
        <v>316</v>
      </c>
      <c r="B37" s="2" t="s">
        <v>296</v>
      </c>
      <c r="C37" s="2" t="s">
        <v>324</v>
      </c>
      <c r="D37" s="2" t="s">
        <v>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8" customWidth="1"/>
    <col min="4" max="4" width="16" customWidth="1"/>
    <col min="5" max="5" width="18" customWidth="1"/>
    <col min="6" max="6" width="16" customWidth="1"/>
    <col min="7" max="8" width="12" customWidth="1"/>
  </cols>
  <sheetData>
    <row r="1" spans="1:8" ht="32" x14ac:dyDescent="0.2">
      <c r="A1" s="1" t="s">
        <v>272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</row>
    <row r="2" spans="1:8" ht="16" x14ac:dyDescent="0.2">
      <c r="A2" s="2" t="s">
        <v>276</v>
      </c>
      <c r="B2" s="2" t="s">
        <v>332</v>
      </c>
      <c r="C2" s="4">
        <v>350</v>
      </c>
      <c r="D2" s="4">
        <v>350</v>
      </c>
      <c r="E2" s="4">
        <v>232.09</v>
      </c>
      <c r="F2" s="4"/>
      <c r="G2" s="2">
        <v>0.66300000000000003</v>
      </c>
      <c r="H2" s="2"/>
    </row>
    <row r="3" spans="1:8" ht="16" x14ac:dyDescent="0.2">
      <c r="A3" s="2" t="s">
        <v>276</v>
      </c>
      <c r="B3" s="2" t="s">
        <v>333</v>
      </c>
      <c r="C3" s="4">
        <v>620</v>
      </c>
      <c r="D3" s="4">
        <v>620</v>
      </c>
      <c r="E3" s="4">
        <v>517.51</v>
      </c>
      <c r="F3" s="4"/>
      <c r="G3" s="2">
        <v>0.83499999999999996</v>
      </c>
      <c r="H3" s="2"/>
    </row>
    <row r="4" spans="1:8" ht="16" x14ac:dyDescent="0.2">
      <c r="A4" s="2" t="s">
        <v>276</v>
      </c>
      <c r="B4" s="2" t="s">
        <v>334</v>
      </c>
      <c r="C4" s="4">
        <v>1300</v>
      </c>
      <c r="D4" s="4">
        <v>1300</v>
      </c>
      <c r="E4" s="4">
        <v>2004.11</v>
      </c>
      <c r="F4" s="4"/>
      <c r="G4" s="2">
        <v>1.542</v>
      </c>
      <c r="H4" s="2"/>
    </row>
    <row r="5" spans="1:8" ht="16" x14ac:dyDescent="0.2">
      <c r="A5" s="2" t="s">
        <v>276</v>
      </c>
      <c r="B5" s="2" t="s">
        <v>335</v>
      </c>
      <c r="C5" s="4">
        <v>2906</v>
      </c>
      <c r="D5" s="4">
        <v>2906</v>
      </c>
      <c r="E5" s="4">
        <v>3168.28</v>
      </c>
      <c r="F5" s="4"/>
      <c r="G5" s="2">
        <v>1.0900000000000001</v>
      </c>
      <c r="H5" s="2"/>
    </row>
    <row r="6" spans="1:8" ht="16" x14ac:dyDescent="0.2">
      <c r="A6" s="2" t="s">
        <v>276</v>
      </c>
      <c r="B6" s="2" t="s">
        <v>336</v>
      </c>
      <c r="C6" s="4">
        <v>3528</v>
      </c>
      <c r="D6" s="4">
        <v>3528</v>
      </c>
      <c r="E6" s="4">
        <v>3592.65</v>
      </c>
      <c r="F6" s="4"/>
      <c r="G6" s="2">
        <v>1.018</v>
      </c>
      <c r="H6" s="2"/>
    </row>
    <row r="7" spans="1:8" ht="16" x14ac:dyDescent="0.2">
      <c r="A7" s="2" t="s">
        <v>276</v>
      </c>
      <c r="B7" s="2" t="s">
        <v>337</v>
      </c>
      <c r="C7" s="4">
        <v>3725</v>
      </c>
      <c r="D7" s="4">
        <v>3725</v>
      </c>
      <c r="E7" s="4">
        <v>4224.0200000000004</v>
      </c>
      <c r="F7" s="4"/>
      <c r="G7" s="2">
        <v>1.1339999999999999</v>
      </c>
      <c r="H7" s="2"/>
    </row>
    <row r="8" spans="1:8" ht="16" x14ac:dyDescent="0.2">
      <c r="A8" s="2" t="s">
        <v>276</v>
      </c>
      <c r="B8" s="2" t="s">
        <v>338</v>
      </c>
      <c r="C8" s="4">
        <v>4602</v>
      </c>
      <c r="D8" s="4">
        <v>4602</v>
      </c>
      <c r="E8" s="4">
        <v>4799.67</v>
      </c>
      <c r="F8" s="4"/>
      <c r="G8" s="2">
        <v>1.0429999999999999</v>
      </c>
      <c r="H8" s="2"/>
    </row>
    <row r="9" spans="1:8" ht="16" x14ac:dyDescent="0.2">
      <c r="A9" s="2" t="s">
        <v>276</v>
      </c>
      <c r="B9" s="2" t="s">
        <v>339</v>
      </c>
      <c r="C9" s="4">
        <v>4982</v>
      </c>
      <c r="D9" s="4">
        <v>4982</v>
      </c>
      <c r="E9" s="4">
        <v>9410.5</v>
      </c>
      <c r="F9" s="4"/>
      <c r="G9" s="2">
        <v>1.889</v>
      </c>
      <c r="H9" s="2"/>
    </row>
    <row r="10" spans="1:8" ht="16" x14ac:dyDescent="0.2">
      <c r="A10" s="2" t="s">
        <v>276</v>
      </c>
      <c r="B10" s="2" t="s">
        <v>340</v>
      </c>
      <c r="C10" s="4">
        <v>10084</v>
      </c>
      <c r="D10" s="4">
        <v>10084</v>
      </c>
      <c r="E10" s="4">
        <v>12869.1</v>
      </c>
      <c r="F10" s="4"/>
      <c r="G10" s="2">
        <v>1.276</v>
      </c>
      <c r="H10" s="2"/>
    </row>
    <row r="11" spans="1:8" ht="16" x14ac:dyDescent="0.2">
      <c r="A11" s="2" t="s">
        <v>276</v>
      </c>
      <c r="B11" s="2" t="s">
        <v>341</v>
      </c>
      <c r="C11" s="4">
        <v>12869</v>
      </c>
      <c r="D11" s="4">
        <v>12869</v>
      </c>
      <c r="E11" s="4">
        <v>16203.9</v>
      </c>
      <c r="F11" s="4"/>
      <c r="G11" s="2">
        <v>1.2589999999999999</v>
      </c>
      <c r="H11" s="2"/>
    </row>
    <row r="12" spans="1:8" ht="16" x14ac:dyDescent="0.2">
      <c r="A12" s="2" t="s">
        <v>276</v>
      </c>
      <c r="B12" s="2" t="s">
        <v>342</v>
      </c>
      <c r="C12" s="4">
        <v>16204</v>
      </c>
      <c r="D12" s="4">
        <v>16204</v>
      </c>
      <c r="E12" s="4">
        <v>18932.560000000001</v>
      </c>
      <c r="F12" s="4"/>
      <c r="G12" s="2">
        <v>1.1679999999999999</v>
      </c>
      <c r="H12" s="2"/>
    </row>
    <row r="13" spans="1:8" ht="16" x14ac:dyDescent="0.2">
      <c r="A13" s="2" t="s">
        <v>276</v>
      </c>
      <c r="B13" s="2" t="s">
        <v>343</v>
      </c>
      <c r="C13" s="4">
        <v>18933</v>
      </c>
      <c r="D13" s="4">
        <v>18933</v>
      </c>
      <c r="E13" s="4">
        <v>27417.26</v>
      </c>
      <c r="F13" s="4"/>
      <c r="G13" s="2">
        <v>1.448</v>
      </c>
      <c r="H13" s="2"/>
    </row>
    <row r="14" spans="1:8" ht="16" x14ac:dyDescent="0.2">
      <c r="A14" s="2" t="s">
        <v>276</v>
      </c>
      <c r="B14" s="2" t="s">
        <v>344</v>
      </c>
      <c r="C14" s="4">
        <v>27417</v>
      </c>
      <c r="D14" s="4">
        <v>27417</v>
      </c>
      <c r="E14" s="4">
        <v>38071.85</v>
      </c>
      <c r="F14" s="4"/>
      <c r="G14" s="2">
        <v>1.389</v>
      </c>
      <c r="H14" s="2"/>
    </row>
    <row r="15" spans="1:8" ht="16" x14ac:dyDescent="0.2">
      <c r="A15" s="2" t="s">
        <v>276</v>
      </c>
      <c r="B15" s="2" t="s">
        <v>345</v>
      </c>
      <c r="C15" s="4">
        <v>38072</v>
      </c>
      <c r="D15" s="4">
        <v>38072</v>
      </c>
      <c r="E15" s="4">
        <v>42050.87</v>
      </c>
      <c r="F15" s="4"/>
      <c r="G15" s="2">
        <v>1.105</v>
      </c>
      <c r="H15" s="2"/>
    </row>
    <row r="16" spans="1:8" ht="16" x14ac:dyDescent="0.2">
      <c r="A16" s="2" t="s">
        <v>276</v>
      </c>
      <c r="B16" s="2" t="s">
        <v>346</v>
      </c>
      <c r="C16" s="4">
        <v>42051</v>
      </c>
      <c r="D16" s="4">
        <v>42051</v>
      </c>
      <c r="E16" s="4">
        <v>48338.29</v>
      </c>
      <c r="F16" s="4"/>
      <c r="G16" s="2">
        <v>1.1499999999999999</v>
      </c>
      <c r="H16" s="2"/>
    </row>
    <row r="17" spans="1:8" ht="16" x14ac:dyDescent="0.2">
      <c r="A17" s="2" t="s">
        <v>276</v>
      </c>
      <c r="B17" s="2" t="s">
        <v>347</v>
      </c>
      <c r="C17" s="4">
        <v>48350</v>
      </c>
      <c r="D17" s="4">
        <v>48350</v>
      </c>
      <c r="E17" s="4">
        <v>50477.89</v>
      </c>
      <c r="F17" s="4"/>
      <c r="G17" s="2">
        <v>1.044</v>
      </c>
      <c r="H17" s="2"/>
    </row>
    <row r="18" spans="1:8" ht="16" x14ac:dyDescent="0.2">
      <c r="A18" s="2" t="s">
        <v>276</v>
      </c>
      <c r="B18" s="2" t="s">
        <v>348</v>
      </c>
      <c r="C18" s="4">
        <v>50478</v>
      </c>
      <c r="D18" s="4">
        <v>50478</v>
      </c>
      <c r="E18" s="4">
        <v>51928.86</v>
      </c>
      <c r="F18" s="4"/>
      <c r="G18" s="2">
        <v>1.0289999999999999</v>
      </c>
      <c r="H18" s="2"/>
    </row>
    <row r="19" spans="1:8" ht="16" x14ac:dyDescent="0.2">
      <c r="A19" s="2" t="s">
        <v>276</v>
      </c>
      <c r="B19" s="2" t="s">
        <v>349</v>
      </c>
      <c r="C19" s="4">
        <v>51903</v>
      </c>
      <c r="D19" s="4">
        <v>51903</v>
      </c>
      <c r="E19" s="4">
        <v>58118.48</v>
      </c>
      <c r="F19" s="4"/>
      <c r="G19" s="2">
        <v>1.1200000000000001</v>
      </c>
      <c r="H19" s="2"/>
    </row>
    <row r="20" spans="1:8" ht="16" x14ac:dyDescent="0.2">
      <c r="A20" s="2" t="s">
        <v>276</v>
      </c>
      <c r="B20" s="2" t="s">
        <v>350</v>
      </c>
      <c r="C20" s="4">
        <v>58136</v>
      </c>
      <c r="D20" s="4">
        <v>58136</v>
      </c>
      <c r="E20" s="4">
        <v>60872.42</v>
      </c>
      <c r="F20" s="4"/>
      <c r="G20" s="2">
        <v>1.0469999999999999</v>
      </c>
      <c r="H20" s="2"/>
    </row>
    <row r="21" spans="1:8" ht="16" x14ac:dyDescent="0.2">
      <c r="A21" s="2" t="s">
        <v>276</v>
      </c>
      <c r="B21" s="2" t="s">
        <v>351</v>
      </c>
      <c r="C21" s="4">
        <v>60882</v>
      </c>
      <c r="D21" s="4">
        <v>60882</v>
      </c>
      <c r="E21" s="4">
        <v>63352.52</v>
      </c>
      <c r="F21" s="4"/>
      <c r="G21" s="2">
        <v>1.0409999999999999</v>
      </c>
      <c r="H21" s="2"/>
    </row>
    <row r="22" spans="1:8" ht="16" x14ac:dyDescent="0.2">
      <c r="A22" s="2" t="s">
        <v>276</v>
      </c>
      <c r="B22" s="2" t="s">
        <v>352</v>
      </c>
      <c r="C22" s="4">
        <v>63362</v>
      </c>
      <c r="D22" s="4">
        <v>63362</v>
      </c>
      <c r="E22" s="4">
        <v>64342.23</v>
      </c>
      <c r="F22" s="4"/>
      <c r="G22" s="2">
        <v>1.0149999999999999</v>
      </c>
      <c r="H22" s="2"/>
    </row>
    <row r="23" spans="1:8" ht="16" x14ac:dyDescent="0.2">
      <c r="A23" s="2" t="s">
        <v>276</v>
      </c>
      <c r="B23" s="2" t="s">
        <v>353</v>
      </c>
      <c r="C23" s="4">
        <v>64351</v>
      </c>
      <c r="D23" s="4">
        <v>64351</v>
      </c>
      <c r="E23" s="4">
        <v>64777.22</v>
      </c>
      <c r="F23" s="4"/>
      <c r="G23" s="2">
        <v>1.0069999999999999</v>
      </c>
      <c r="H23" s="2"/>
    </row>
    <row r="24" spans="1:8" ht="16" x14ac:dyDescent="0.2">
      <c r="A24" s="2" t="s">
        <v>276</v>
      </c>
      <c r="B24" s="2" t="s">
        <v>354</v>
      </c>
      <c r="C24" s="4">
        <v>64786</v>
      </c>
      <c r="D24" s="4">
        <v>64786</v>
      </c>
      <c r="E24" s="4">
        <v>65276.23</v>
      </c>
      <c r="F24" s="4"/>
      <c r="G24" s="2">
        <v>1.008</v>
      </c>
      <c r="H24" s="2"/>
    </row>
    <row r="25" spans="1:8" ht="16" x14ac:dyDescent="0.2">
      <c r="A25" s="2" t="s">
        <v>276</v>
      </c>
      <c r="B25" s="2" t="s">
        <v>355</v>
      </c>
      <c r="C25" s="4">
        <v>65285</v>
      </c>
      <c r="D25" s="4">
        <v>65285</v>
      </c>
      <c r="E25" s="4">
        <v>66908.25</v>
      </c>
      <c r="F25" s="4"/>
      <c r="G25" s="2">
        <v>1.0249999999999999</v>
      </c>
      <c r="H25" s="2"/>
    </row>
    <row r="26" spans="1:8" ht="16" x14ac:dyDescent="0.2">
      <c r="A26" s="2" t="s">
        <v>276</v>
      </c>
      <c r="B26" s="2" t="s">
        <v>356</v>
      </c>
      <c r="C26" s="4">
        <v>66884</v>
      </c>
      <c r="D26" s="4">
        <v>66884</v>
      </c>
      <c r="E26" s="4"/>
      <c r="F26" s="4"/>
      <c r="G26" s="2"/>
      <c r="H26" s="2"/>
    </row>
    <row r="27" spans="1:8" ht="16" x14ac:dyDescent="0.2">
      <c r="A27" s="2" t="s">
        <v>276</v>
      </c>
      <c r="B27" s="2" t="s">
        <v>357</v>
      </c>
      <c r="C27" s="4">
        <v>68893</v>
      </c>
      <c r="D27" s="4">
        <v>68893</v>
      </c>
      <c r="E27" s="4">
        <v>71180.91</v>
      </c>
      <c r="F27" s="4"/>
      <c r="G27" s="2">
        <v>1.0329999999999999</v>
      </c>
      <c r="H27" s="2"/>
    </row>
    <row r="28" spans="1:8" ht="16" x14ac:dyDescent="0.2">
      <c r="A28" s="2" t="s">
        <v>276</v>
      </c>
      <c r="B28" s="2" t="s">
        <v>358</v>
      </c>
      <c r="C28" s="4">
        <v>71190</v>
      </c>
      <c r="D28" s="4">
        <v>71190</v>
      </c>
      <c r="E28" s="4">
        <v>73349.19</v>
      </c>
      <c r="F28" s="4"/>
      <c r="G28" s="2">
        <v>1.03</v>
      </c>
      <c r="H28" s="2"/>
    </row>
    <row r="29" spans="1:8" ht="16" x14ac:dyDescent="0.2">
      <c r="A29" s="2" t="s">
        <v>276</v>
      </c>
      <c r="B29" s="2" t="s">
        <v>359</v>
      </c>
      <c r="C29" s="4">
        <v>73358</v>
      </c>
      <c r="D29" s="4">
        <v>73358</v>
      </c>
      <c r="E29" s="4">
        <v>76971.149999999994</v>
      </c>
      <c r="F29" s="4"/>
      <c r="G29" s="2">
        <v>1.0489999999999999</v>
      </c>
      <c r="H29" s="2"/>
    </row>
    <row r="30" spans="1:8" ht="16" x14ac:dyDescent="0.2">
      <c r="A30" s="2" t="s">
        <v>276</v>
      </c>
      <c r="B30" s="2" t="s">
        <v>360</v>
      </c>
      <c r="C30" s="4">
        <v>76980</v>
      </c>
      <c r="D30" s="4">
        <v>76980</v>
      </c>
      <c r="E30" s="4">
        <v>80361.77</v>
      </c>
      <c r="F30" s="4"/>
      <c r="G30" s="2">
        <v>1.044</v>
      </c>
      <c r="H30" s="2"/>
    </row>
    <row r="31" spans="1:8" ht="16" x14ac:dyDescent="0.2">
      <c r="A31" s="2" t="s">
        <v>276</v>
      </c>
      <c r="B31" s="2" t="s">
        <v>361</v>
      </c>
      <c r="C31" s="4">
        <v>80370</v>
      </c>
      <c r="D31" s="4">
        <v>80370</v>
      </c>
      <c r="E31" s="4">
        <v>81441.990000000005</v>
      </c>
      <c r="F31" s="4"/>
      <c r="G31" s="2">
        <v>1.0129999999999999</v>
      </c>
      <c r="H31" s="2"/>
    </row>
    <row r="32" spans="1:8" ht="16" x14ac:dyDescent="0.2">
      <c r="A32" s="2" t="s">
        <v>276</v>
      </c>
      <c r="B32" s="2" t="s">
        <v>362</v>
      </c>
      <c r="C32" s="4">
        <v>81450</v>
      </c>
      <c r="D32" s="4">
        <v>81450</v>
      </c>
      <c r="E32" s="4">
        <v>86021.51</v>
      </c>
      <c r="F32" s="4"/>
      <c r="G32" s="2">
        <v>1.056</v>
      </c>
      <c r="H32" s="2"/>
    </row>
    <row r="33" spans="1:8" ht="16" x14ac:dyDescent="0.2">
      <c r="A33" s="2" t="s">
        <v>276</v>
      </c>
      <c r="B33" s="2" t="s">
        <v>363</v>
      </c>
      <c r="C33" s="4">
        <v>86030</v>
      </c>
      <c r="D33" s="4">
        <v>86030</v>
      </c>
      <c r="E33" s="4">
        <v>87809.63</v>
      </c>
      <c r="F33" s="4"/>
      <c r="G33" s="2">
        <v>1.0209999999999999</v>
      </c>
      <c r="H33" s="2"/>
    </row>
    <row r="34" spans="1:8" ht="16" x14ac:dyDescent="0.2">
      <c r="A34" s="2" t="s">
        <v>276</v>
      </c>
      <c r="B34" s="2" t="s">
        <v>364</v>
      </c>
      <c r="C34" s="4">
        <v>87818</v>
      </c>
      <c r="D34" s="4">
        <v>87818</v>
      </c>
      <c r="E34" s="4">
        <v>88747.199999999997</v>
      </c>
      <c r="F34" s="4"/>
      <c r="G34" s="2">
        <v>1.0109999999999999</v>
      </c>
      <c r="H34" s="2"/>
    </row>
    <row r="35" spans="1:8" ht="16" x14ac:dyDescent="0.2">
      <c r="A35" s="2" t="s">
        <v>276</v>
      </c>
      <c r="B35" s="2" t="s">
        <v>365</v>
      </c>
      <c r="C35" s="4">
        <v>88755</v>
      </c>
      <c r="D35" s="4">
        <v>87818</v>
      </c>
      <c r="E35" s="4">
        <v>96461.06</v>
      </c>
      <c r="F35" s="4"/>
      <c r="G35" s="2">
        <v>1.087</v>
      </c>
      <c r="H35" s="2"/>
    </row>
    <row r="36" spans="1:8" ht="16" x14ac:dyDescent="0.2">
      <c r="A36" s="2" t="s">
        <v>276</v>
      </c>
      <c r="B36" s="2" t="s">
        <v>366</v>
      </c>
      <c r="C36" s="4">
        <v>96469</v>
      </c>
      <c r="D36" s="4">
        <v>96469</v>
      </c>
      <c r="E36" s="4">
        <v>100366.59</v>
      </c>
      <c r="F36" s="4"/>
      <c r="G36" s="2">
        <v>1.04</v>
      </c>
      <c r="H36" s="2"/>
    </row>
    <row r="37" spans="1:8" ht="16" x14ac:dyDescent="0.2">
      <c r="A37" s="2" t="s">
        <v>276</v>
      </c>
      <c r="B37" s="2" t="s">
        <v>367</v>
      </c>
      <c r="C37" s="4">
        <v>100367</v>
      </c>
      <c r="D37" s="4">
        <v>100367</v>
      </c>
      <c r="E37" s="4">
        <v>101972.58</v>
      </c>
      <c r="F37" s="4"/>
      <c r="G37" s="2">
        <v>1.016</v>
      </c>
      <c r="H37" s="2"/>
    </row>
    <row r="38" spans="1:8" ht="16" x14ac:dyDescent="0.2">
      <c r="A38" s="2" t="s">
        <v>276</v>
      </c>
      <c r="B38" s="2" t="s">
        <v>368</v>
      </c>
      <c r="C38" s="4">
        <v>101922</v>
      </c>
      <c r="D38" s="4">
        <v>101922</v>
      </c>
      <c r="E38" s="4">
        <v>102796.09</v>
      </c>
      <c r="F38" s="4"/>
      <c r="G38" s="2">
        <v>1.0089999999999999</v>
      </c>
      <c r="H38" s="2"/>
    </row>
    <row r="39" spans="1:8" ht="16" x14ac:dyDescent="0.2">
      <c r="A39" s="2" t="s">
        <v>276</v>
      </c>
      <c r="B39" s="2" t="s">
        <v>369</v>
      </c>
      <c r="C39" s="4">
        <v>102746</v>
      </c>
      <c r="D39" s="4">
        <v>102746</v>
      </c>
      <c r="E39" s="4">
        <v>104312.68</v>
      </c>
      <c r="F39" s="4"/>
      <c r="G39" s="2">
        <v>1.0149999999999999</v>
      </c>
      <c r="H39" s="2"/>
    </row>
    <row r="40" spans="1:8" ht="16" x14ac:dyDescent="0.2">
      <c r="A40" s="2" t="s">
        <v>276</v>
      </c>
      <c r="B40" s="2" t="s">
        <v>370</v>
      </c>
      <c r="C40" s="4">
        <v>104263</v>
      </c>
      <c r="D40" s="4">
        <v>104263</v>
      </c>
      <c r="E40" s="4">
        <v>105695.26</v>
      </c>
      <c r="F40" s="4"/>
      <c r="G40" s="2">
        <v>1.014</v>
      </c>
      <c r="H40" s="2"/>
    </row>
    <row r="41" spans="1:8" ht="16" x14ac:dyDescent="0.2">
      <c r="A41" s="2" t="s">
        <v>276</v>
      </c>
      <c r="B41" s="2" t="s">
        <v>371</v>
      </c>
      <c r="C41" s="4">
        <v>105475</v>
      </c>
      <c r="D41" s="4">
        <v>105475</v>
      </c>
      <c r="E41" s="4">
        <v>109593.96</v>
      </c>
      <c r="F41" s="4"/>
      <c r="G41" s="2">
        <v>1.0389999999999999</v>
      </c>
      <c r="H41" s="2"/>
    </row>
    <row r="42" spans="1:8" ht="16" x14ac:dyDescent="0.2">
      <c r="A42" s="2" t="s">
        <v>276</v>
      </c>
      <c r="B42" s="2" t="s">
        <v>372</v>
      </c>
      <c r="C42" s="4">
        <v>109594</v>
      </c>
      <c r="D42" s="4">
        <v>109594</v>
      </c>
      <c r="E42" s="4">
        <v>111658.26</v>
      </c>
      <c r="F42" s="4"/>
      <c r="G42" s="2">
        <v>1.0189999999999999</v>
      </c>
      <c r="H42" s="2"/>
    </row>
    <row r="43" spans="1:8" ht="16" x14ac:dyDescent="0.2">
      <c r="A43" s="2" t="s">
        <v>276</v>
      </c>
      <c r="B43" s="2" t="s">
        <v>373</v>
      </c>
      <c r="C43" s="4">
        <v>111604</v>
      </c>
      <c r="D43" s="4">
        <v>111604</v>
      </c>
      <c r="E43" s="4">
        <v>140777.41</v>
      </c>
      <c r="F43" s="4"/>
      <c r="G43" s="2">
        <v>1.2609999999999999</v>
      </c>
      <c r="H43" s="2"/>
    </row>
    <row r="44" spans="1:8" ht="16" x14ac:dyDescent="0.2">
      <c r="A44" s="2" t="s">
        <v>276</v>
      </c>
      <c r="B44" s="2" t="s">
        <v>374</v>
      </c>
      <c r="C44" s="4">
        <v>140780</v>
      </c>
      <c r="D44" s="4">
        <v>140780</v>
      </c>
      <c r="E44" s="4">
        <v>157392.69</v>
      </c>
      <c r="F44" s="4"/>
      <c r="G44" s="2">
        <v>1.1180000000000001</v>
      </c>
      <c r="H44" s="2"/>
    </row>
    <row r="45" spans="1:8" ht="16" x14ac:dyDescent="0.2">
      <c r="A45" s="2" t="s">
        <v>276</v>
      </c>
      <c r="B45" s="2" t="s">
        <v>375</v>
      </c>
      <c r="C45" s="4">
        <v>157393</v>
      </c>
      <c r="D45" s="4">
        <v>157393</v>
      </c>
      <c r="E45" s="4">
        <v>164894.04999999999</v>
      </c>
      <c r="F45" s="4"/>
      <c r="G45" s="2">
        <v>1.048</v>
      </c>
      <c r="H45" s="2"/>
    </row>
    <row r="46" spans="1:8" ht="16" x14ac:dyDescent="0.2">
      <c r="A46" s="2" t="s">
        <v>276</v>
      </c>
      <c r="B46" s="2" t="s">
        <v>376</v>
      </c>
      <c r="C46" s="4">
        <v>164895</v>
      </c>
      <c r="D46" s="4">
        <v>164895</v>
      </c>
      <c r="E46" s="4">
        <v>179976.26</v>
      </c>
      <c r="F46" s="4"/>
      <c r="G46" s="2">
        <v>1.091</v>
      </c>
      <c r="H46" s="2"/>
    </row>
    <row r="47" spans="1:8" ht="16" x14ac:dyDescent="0.2">
      <c r="A47" s="2" t="s">
        <v>276</v>
      </c>
      <c r="B47" s="2" t="s">
        <v>377</v>
      </c>
      <c r="C47" s="4">
        <v>179977</v>
      </c>
      <c r="D47" s="4">
        <v>179977</v>
      </c>
      <c r="E47" s="4">
        <v>180932.48000000001</v>
      </c>
      <c r="F47" s="4"/>
      <c r="G47" s="2">
        <v>1.0049999999999999</v>
      </c>
      <c r="H47" s="2"/>
    </row>
    <row r="48" spans="1:8" ht="16" x14ac:dyDescent="0.2">
      <c r="A48" s="2" t="s">
        <v>276</v>
      </c>
      <c r="B48" s="2" t="s">
        <v>378</v>
      </c>
      <c r="C48" s="4">
        <v>180300</v>
      </c>
      <c r="D48" s="4">
        <v>180300</v>
      </c>
      <c r="E48" s="4">
        <v>181064.88</v>
      </c>
      <c r="F48" s="4"/>
      <c r="G48" s="2">
        <v>1.004</v>
      </c>
      <c r="H48" s="2"/>
    </row>
    <row r="49" spans="1:8" ht="16" x14ac:dyDescent="0.2">
      <c r="A49" s="2" t="s">
        <v>276</v>
      </c>
      <c r="B49" s="2" t="s">
        <v>379</v>
      </c>
      <c r="C49" s="4">
        <v>181065</v>
      </c>
      <c r="D49" s="4">
        <v>181065</v>
      </c>
      <c r="E49" s="4">
        <v>181145.13</v>
      </c>
      <c r="F49" s="4"/>
      <c r="G49" s="2">
        <v>1</v>
      </c>
      <c r="H49" s="2"/>
    </row>
    <row r="50" spans="1:8" ht="16" x14ac:dyDescent="0.2">
      <c r="A50" s="2" t="s">
        <v>276</v>
      </c>
      <c r="B50" s="2" t="s">
        <v>380</v>
      </c>
      <c r="C50" s="4">
        <v>181145</v>
      </c>
      <c r="D50" s="4">
        <v>181145</v>
      </c>
      <c r="E50" s="4">
        <v>181296.64000000001</v>
      </c>
      <c r="F50" s="4"/>
      <c r="G50" s="2">
        <v>1.0009999999999999</v>
      </c>
      <c r="H50" s="2"/>
    </row>
    <row r="51" spans="1:8" ht="16" x14ac:dyDescent="0.2">
      <c r="A51" s="2" t="s">
        <v>276</v>
      </c>
      <c r="B51" s="2" t="s">
        <v>381</v>
      </c>
      <c r="C51" s="4">
        <v>181174</v>
      </c>
      <c r="D51" s="4">
        <v>181174</v>
      </c>
      <c r="E51" s="4"/>
      <c r="F51" s="4"/>
      <c r="G51" s="2"/>
      <c r="H51" s="2"/>
    </row>
    <row r="52" spans="1:8" ht="16" x14ac:dyDescent="0.2">
      <c r="A52" s="2" t="s">
        <v>276</v>
      </c>
      <c r="B52" s="2" t="s">
        <v>382</v>
      </c>
      <c r="C52" s="4">
        <v>181297</v>
      </c>
      <c r="D52" s="4">
        <v>181297</v>
      </c>
      <c r="E52" s="4">
        <v>181573.75</v>
      </c>
      <c r="F52" s="4"/>
      <c r="G52" s="2">
        <v>1.002</v>
      </c>
      <c r="H52" s="2"/>
    </row>
    <row r="53" spans="1:8" ht="16" x14ac:dyDescent="0.2">
      <c r="A53" s="2" t="s">
        <v>276</v>
      </c>
      <c r="B53" s="2" t="s">
        <v>383</v>
      </c>
      <c r="C53" s="4">
        <v>181574</v>
      </c>
      <c r="D53" s="4">
        <v>181574</v>
      </c>
      <c r="E53" s="4">
        <v>181660.53</v>
      </c>
      <c r="F53" s="4"/>
      <c r="G53" s="2">
        <v>1</v>
      </c>
      <c r="H53" s="2"/>
    </row>
    <row r="54" spans="1:8" ht="16" x14ac:dyDescent="0.2">
      <c r="A54" s="2" t="s">
        <v>276</v>
      </c>
      <c r="B54" s="2" t="s">
        <v>384</v>
      </c>
      <c r="C54" s="4">
        <v>182445</v>
      </c>
      <c r="D54" s="4">
        <v>182445</v>
      </c>
      <c r="E54" s="4">
        <v>183504.89</v>
      </c>
      <c r="F54" s="4"/>
      <c r="G54" s="2">
        <v>1.006</v>
      </c>
      <c r="H54" s="2"/>
    </row>
    <row r="55" spans="1:8" ht="16" x14ac:dyDescent="0.2">
      <c r="A55" s="2" t="s">
        <v>276</v>
      </c>
      <c r="B55" s="2" t="s">
        <v>385</v>
      </c>
      <c r="C55" s="4">
        <v>183508</v>
      </c>
      <c r="D55" s="4">
        <v>183508</v>
      </c>
      <c r="E55" s="4">
        <v>184366.68</v>
      </c>
      <c r="F55" s="4"/>
      <c r="G55" s="2">
        <v>1.0049999999999999</v>
      </c>
      <c r="H55" s="2"/>
    </row>
    <row r="56" spans="1:8" ht="16" x14ac:dyDescent="0.2">
      <c r="A56" s="2" t="s">
        <v>276</v>
      </c>
      <c r="B56" s="2" t="s">
        <v>386</v>
      </c>
      <c r="C56" s="4">
        <v>184376</v>
      </c>
      <c r="D56" s="4">
        <v>184376</v>
      </c>
      <c r="E56" s="4"/>
      <c r="F56" s="4"/>
      <c r="G56" s="2"/>
      <c r="H56" s="2"/>
    </row>
    <row r="57" spans="1:8" ht="16" x14ac:dyDescent="0.2">
      <c r="A57" s="2" t="s">
        <v>276</v>
      </c>
      <c r="B57" s="2" t="s">
        <v>387</v>
      </c>
      <c r="C57" s="4">
        <v>185895</v>
      </c>
      <c r="D57" s="4">
        <v>185895</v>
      </c>
      <c r="E57" s="4">
        <v>184455.98</v>
      </c>
      <c r="F57" s="4"/>
      <c r="G57" s="2">
        <v>0.99199999999999999</v>
      </c>
      <c r="H57" s="2"/>
    </row>
    <row r="58" spans="1:8" ht="16" x14ac:dyDescent="0.2">
      <c r="A58" s="2" t="s">
        <v>276</v>
      </c>
      <c r="B58" s="2" t="s">
        <v>388</v>
      </c>
      <c r="C58" s="4">
        <v>186192</v>
      </c>
      <c r="D58" s="4">
        <v>186192</v>
      </c>
      <c r="E58" s="4">
        <v>186265.56</v>
      </c>
      <c r="F58" s="4"/>
      <c r="G58" s="2">
        <v>1</v>
      </c>
      <c r="H58" s="2"/>
    </row>
    <row r="59" spans="1:8" ht="16" x14ac:dyDescent="0.2">
      <c r="A59" s="2" t="s">
        <v>276</v>
      </c>
      <c r="B59" s="2" t="s">
        <v>389</v>
      </c>
      <c r="C59" s="4">
        <v>186361</v>
      </c>
      <c r="D59" s="4">
        <v>186361</v>
      </c>
      <c r="E59" s="4">
        <v>186400.85</v>
      </c>
      <c r="F59" s="4"/>
      <c r="G59" s="2">
        <v>1</v>
      </c>
      <c r="H59" s="2"/>
    </row>
    <row r="60" spans="1:8" ht="16" x14ac:dyDescent="0.2">
      <c r="A60" s="2" t="s">
        <v>276</v>
      </c>
      <c r="B60" s="2" t="s">
        <v>390</v>
      </c>
      <c r="C60" s="4">
        <v>188312</v>
      </c>
      <c r="D60" s="4">
        <v>188312</v>
      </c>
      <c r="E60" s="4">
        <v>188379.77</v>
      </c>
      <c r="F60" s="4"/>
      <c r="G60" s="2">
        <v>1</v>
      </c>
      <c r="H60" s="2"/>
    </row>
    <row r="61" spans="1:8" ht="16" x14ac:dyDescent="0.2">
      <c r="A61" s="2" t="s">
        <v>276</v>
      </c>
      <c r="B61" s="2" t="s">
        <v>391</v>
      </c>
      <c r="C61" s="4">
        <v>188380</v>
      </c>
      <c r="D61" s="4">
        <v>188380</v>
      </c>
      <c r="E61" s="4">
        <v>188396.58</v>
      </c>
      <c r="F61" s="4"/>
      <c r="G61" s="2">
        <v>1</v>
      </c>
      <c r="H61" s="2"/>
    </row>
    <row r="62" spans="1:8" ht="16" x14ac:dyDescent="0.2">
      <c r="A62" s="2" t="s">
        <v>276</v>
      </c>
      <c r="B62" s="2" t="s">
        <v>392</v>
      </c>
      <c r="C62" s="4">
        <v>188397</v>
      </c>
      <c r="D62" s="4">
        <v>188397</v>
      </c>
      <c r="E62" s="4">
        <v>188487.52</v>
      </c>
      <c r="F62" s="4"/>
      <c r="G62" s="2">
        <v>1</v>
      </c>
      <c r="H62" s="2"/>
    </row>
    <row r="63" spans="1:8" ht="16" x14ac:dyDescent="0.2">
      <c r="A63" s="2" t="s">
        <v>276</v>
      </c>
      <c r="B63" s="2" t="s">
        <v>393</v>
      </c>
      <c r="C63" s="4">
        <v>188397</v>
      </c>
      <c r="D63" s="4">
        <v>188397</v>
      </c>
      <c r="E63" s="4">
        <v>188487.52</v>
      </c>
      <c r="F63" s="4"/>
      <c r="G63" s="2">
        <v>1</v>
      </c>
      <c r="H63" s="2"/>
    </row>
    <row r="64" spans="1:8" ht="16" x14ac:dyDescent="0.2">
      <c r="A64" s="2" t="s">
        <v>276</v>
      </c>
      <c r="B64" s="2" t="s">
        <v>394</v>
      </c>
      <c r="C64" s="4">
        <v>188404</v>
      </c>
      <c r="D64" s="4">
        <v>188404</v>
      </c>
      <c r="E64" s="4"/>
      <c r="F64" s="4"/>
      <c r="G64" s="2"/>
      <c r="H64" s="2"/>
    </row>
    <row r="65" spans="1:8" ht="16" x14ac:dyDescent="0.2">
      <c r="A65" s="2" t="s">
        <v>276</v>
      </c>
      <c r="B65" s="2" t="s">
        <v>395</v>
      </c>
      <c r="C65" s="4">
        <v>188404</v>
      </c>
      <c r="D65" s="4">
        <v>188404</v>
      </c>
      <c r="E65" s="4"/>
      <c r="F65" s="4"/>
      <c r="G65" s="2"/>
      <c r="H65" s="2"/>
    </row>
    <row r="66" spans="1:8" ht="16" x14ac:dyDescent="0.2">
      <c r="A66" s="2" t="s">
        <v>276</v>
      </c>
      <c r="B66" s="2" t="s">
        <v>396</v>
      </c>
      <c r="C66" s="4">
        <v>188404</v>
      </c>
      <c r="D66" s="4">
        <v>188404</v>
      </c>
      <c r="E66" s="4"/>
      <c r="F66" s="4"/>
      <c r="G66" s="2"/>
      <c r="H66" s="2"/>
    </row>
    <row r="67" spans="1:8" ht="16" x14ac:dyDescent="0.2">
      <c r="A67" s="2" t="s">
        <v>276</v>
      </c>
      <c r="B67" s="2" t="s">
        <v>397</v>
      </c>
      <c r="C67" s="4">
        <v>188404</v>
      </c>
      <c r="D67" s="4">
        <v>188404</v>
      </c>
      <c r="E67" s="4"/>
      <c r="F67" s="4"/>
      <c r="G67" s="2"/>
      <c r="H67" s="2"/>
    </row>
    <row r="68" spans="1:8" ht="16" x14ac:dyDescent="0.2">
      <c r="A68" s="2" t="s">
        <v>276</v>
      </c>
      <c r="B68" s="2" t="s">
        <v>398</v>
      </c>
      <c r="C68" s="4">
        <v>188404</v>
      </c>
      <c r="D68" s="4">
        <v>188404</v>
      </c>
      <c r="E68" s="4"/>
      <c r="F68" s="4"/>
      <c r="G68" s="2"/>
      <c r="H68" s="2"/>
    </row>
    <row r="69" spans="1:8" ht="16" x14ac:dyDescent="0.2">
      <c r="A69" s="2" t="s">
        <v>276</v>
      </c>
      <c r="B69" s="2" t="s">
        <v>399</v>
      </c>
      <c r="C69" s="4">
        <v>188404</v>
      </c>
      <c r="D69" s="4">
        <v>188404</v>
      </c>
      <c r="E69" s="4">
        <v>188404.08</v>
      </c>
      <c r="F69" s="4"/>
      <c r="G69" s="2">
        <v>1</v>
      </c>
      <c r="H69" s="2"/>
    </row>
    <row r="70" spans="1:8" ht="16" x14ac:dyDescent="0.2">
      <c r="A70" s="2" t="s">
        <v>276</v>
      </c>
      <c r="B70" s="2" t="s">
        <v>400</v>
      </c>
      <c r="C70" s="4">
        <v>188404</v>
      </c>
      <c r="D70" s="4">
        <v>188404</v>
      </c>
      <c r="E70" s="4"/>
      <c r="F70" s="4"/>
      <c r="G70" s="2"/>
      <c r="H70" s="2"/>
    </row>
    <row r="71" spans="1:8" ht="16" x14ac:dyDescent="0.2">
      <c r="A71" s="2" t="s">
        <v>276</v>
      </c>
      <c r="B71" s="2" t="s">
        <v>401</v>
      </c>
      <c r="C71" s="4">
        <v>188404</v>
      </c>
      <c r="D71" s="4">
        <v>188404</v>
      </c>
      <c r="E71" s="4">
        <v>188404.08</v>
      </c>
      <c r="F71" s="4"/>
      <c r="G71" s="2">
        <v>1</v>
      </c>
      <c r="H71" s="2"/>
    </row>
    <row r="72" spans="1:8" ht="16" x14ac:dyDescent="0.2">
      <c r="A72" s="2" t="s">
        <v>276</v>
      </c>
      <c r="B72" s="2" t="s">
        <v>402</v>
      </c>
      <c r="C72" s="4">
        <v>188404</v>
      </c>
      <c r="D72" s="4">
        <v>188404</v>
      </c>
      <c r="E72" s="4"/>
      <c r="F72" s="4"/>
      <c r="G72" s="2"/>
      <c r="H72" s="2"/>
    </row>
    <row r="73" spans="1:8" ht="16" x14ac:dyDescent="0.2">
      <c r="A73" s="2" t="s">
        <v>276</v>
      </c>
      <c r="B73" s="2" t="s">
        <v>403</v>
      </c>
      <c r="C73" s="4">
        <v>188404</v>
      </c>
      <c r="D73" s="4">
        <v>188404</v>
      </c>
      <c r="E73" s="4">
        <v>188495.02</v>
      </c>
      <c r="F73" s="4"/>
      <c r="G73" s="2">
        <v>1</v>
      </c>
      <c r="H73" s="2"/>
    </row>
    <row r="74" spans="1:8" ht="16" x14ac:dyDescent="0.2">
      <c r="A74" s="2" t="s">
        <v>276</v>
      </c>
      <c r="B74" s="2" t="s">
        <v>404</v>
      </c>
      <c r="C74" s="4">
        <v>188404</v>
      </c>
      <c r="D74" s="4">
        <v>188404</v>
      </c>
      <c r="E74" s="4"/>
      <c r="F74" s="4"/>
      <c r="G74" s="2"/>
      <c r="H74" s="2"/>
    </row>
    <row r="75" spans="1:8" ht="16" x14ac:dyDescent="0.2">
      <c r="A75" s="2" t="s">
        <v>276</v>
      </c>
      <c r="B75" s="2" t="s">
        <v>405</v>
      </c>
      <c r="C75" s="4">
        <v>188404</v>
      </c>
      <c r="D75" s="4">
        <v>188404</v>
      </c>
      <c r="E75" s="4"/>
      <c r="F75" s="4"/>
      <c r="G75" s="2"/>
      <c r="H75" s="2"/>
    </row>
    <row r="76" spans="1:8" ht="16" x14ac:dyDescent="0.2">
      <c r="A76" s="2" t="s">
        <v>276</v>
      </c>
      <c r="B76" s="2" t="s">
        <v>406</v>
      </c>
      <c r="C76" s="4">
        <v>188404</v>
      </c>
      <c r="D76" s="4"/>
      <c r="E76" s="4"/>
      <c r="F76" s="4"/>
      <c r="G76" s="2"/>
      <c r="H76" s="2"/>
    </row>
    <row r="77" spans="1:8" ht="16" x14ac:dyDescent="0.2">
      <c r="A77" s="2" t="s">
        <v>276</v>
      </c>
      <c r="B77" s="2" t="s">
        <v>407</v>
      </c>
      <c r="C77" s="4">
        <v>188404</v>
      </c>
      <c r="D77" s="4"/>
      <c r="E77" s="4"/>
      <c r="F77" s="4"/>
      <c r="G77" s="2"/>
      <c r="H77" s="2"/>
    </row>
    <row r="78" spans="1:8" ht="16" x14ac:dyDescent="0.2">
      <c r="A78" s="2" t="s">
        <v>276</v>
      </c>
      <c r="B78" s="2" t="s">
        <v>408</v>
      </c>
      <c r="C78" s="4">
        <v>188404</v>
      </c>
      <c r="D78" s="4"/>
      <c r="E78" s="4"/>
      <c r="F78" s="4"/>
      <c r="G78" s="2"/>
      <c r="H78" s="2"/>
    </row>
    <row r="79" spans="1:8" ht="16" x14ac:dyDescent="0.2">
      <c r="A79" s="2" t="s">
        <v>276</v>
      </c>
      <c r="B79" s="2" t="s">
        <v>409</v>
      </c>
      <c r="C79" s="4">
        <v>188404</v>
      </c>
      <c r="D79" s="4"/>
      <c r="E79" s="4"/>
      <c r="F79" s="4"/>
      <c r="G79" s="2"/>
      <c r="H79" s="2"/>
    </row>
    <row r="80" spans="1:8" ht="16" x14ac:dyDescent="0.2">
      <c r="A80" s="2" t="s">
        <v>298</v>
      </c>
      <c r="B80" s="2" t="s">
        <v>410</v>
      </c>
      <c r="C80" s="4"/>
      <c r="D80" s="4"/>
      <c r="E80" s="4"/>
      <c r="F80" s="4">
        <v>183.90445035652269</v>
      </c>
      <c r="G80" s="2"/>
      <c r="H80" s="2"/>
    </row>
    <row r="81" spans="1:8" ht="16" x14ac:dyDescent="0.2">
      <c r="A81" s="2" t="s">
        <v>298</v>
      </c>
      <c r="B81" s="2" t="s">
        <v>411</v>
      </c>
      <c r="C81" s="4">
        <v>1500</v>
      </c>
      <c r="D81" s="4">
        <v>1500</v>
      </c>
      <c r="E81" s="4">
        <v>3127.5770824699998</v>
      </c>
      <c r="F81" s="4">
        <v>4375.8035912966561</v>
      </c>
      <c r="G81" s="2">
        <v>2.085</v>
      </c>
      <c r="H81" s="2">
        <v>2.9169999999999998</v>
      </c>
    </row>
    <row r="82" spans="1:8" ht="16" x14ac:dyDescent="0.2">
      <c r="A82" s="2" t="s">
        <v>298</v>
      </c>
      <c r="B82" s="2" t="s">
        <v>412</v>
      </c>
      <c r="C82" s="4">
        <v>3126</v>
      </c>
      <c r="D82" s="4">
        <v>3126</v>
      </c>
      <c r="E82" s="4">
        <v>3098.6589913600001</v>
      </c>
      <c r="F82" s="4">
        <v>7985.1024671404848</v>
      </c>
      <c r="G82" s="2">
        <v>0.99099999999999999</v>
      </c>
      <c r="H82" s="2">
        <v>2.5539999999999998</v>
      </c>
    </row>
    <row r="83" spans="1:8" ht="16" x14ac:dyDescent="0.2">
      <c r="A83" s="2" t="s">
        <v>298</v>
      </c>
      <c r="B83" s="2" t="s">
        <v>413</v>
      </c>
      <c r="C83" s="4">
        <v>6773</v>
      </c>
      <c r="D83" s="4">
        <v>6773</v>
      </c>
      <c r="E83" s="4">
        <v>7015.8831858900003</v>
      </c>
      <c r="F83" s="4">
        <v>32719.95335554771</v>
      </c>
      <c r="G83" s="2">
        <v>1.036</v>
      </c>
      <c r="H83" s="2">
        <v>4.8310000000000004</v>
      </c>
    </row>
    <row r="84" spans="1:8" ht="16" x14ac:dyDescent="0.2">
      <c r="A84" s="2" t="s">
        <v>298</v>
      </c>
      <c r="B84" s="2" t="s">
        <v>414</v>
      </c>
      <c r="C84" s="4">
        <v>28763</v>
      </c>
      <c r="D84" s="4">
        <v>28763</v>
      </c>
      <c r="E84" s="4">
        <v>44483.576930800002</v>
      </c>
      <c r="F84" s="4">
        <v>57659.35873806991</v>
      </c>
      <c r="G84" s="2">
        <v>1.5469999999999999</v>
      </c>
      <c r="H84" s="2">
        <v>2.0049999999999999</v>
      </c>
    </row>
    <row r="85" spans="1:8" ht="16" x14ac:dyDescent="0.2">
      <c r="A85" s="2" t="s">
        <v>298</v>
      </c>
      <c r="B85" s="2" t="s">
        <v>415</v>
      </c>
      <c r="C85" s="4">
        <v>48312</v>
      </c>
      <c r="D85" s="4">
        <v>48312</v>
      </c>
      <c r="E85" s="4">
        <v>80968.370675400001</v>
      </c>
      <c r="F85" s="4">
        <v>109434.7079202536</v>
      </c>
      <c r="G85" s="2">
        <v>1.6759999999999999</v>
      </c>
      <c r="H85" s="2">
        <v>2.2650000000000001</v>
      </c>
    </row>
    <row r="86" spans="1:8" ht="16" x14ac:dyDescent="0.2">
      <c r="A86" s="2" t="s">
        <v>298</v>
      </c>
      <c r="B86" s="2" t="s">
        <v>416</v>
      </c>
      <c r="C86" s="4">
        <v>83800</v>
      </c>
      <c r="D86" s="4">
        <v>83800</v>
      </c>
      <c r="E86" s="4">
        <v>95441.710374000002</v>
      </c>
      <c r="F86" s="4">
        <v>123375.3381331311</v>
      </c>
      <c r="G86" s="2">
        <v>1.139</v>
      </c>
      <c r="H86" s="2">
        <v>1.472</v>
      </c>
    </row>
    <row r="87" spans="1:8" ht="16" x14ac:dyDescent="0.2">
      <c r="A87" s="2" t="s">
        <v>298</v>
      </c>
      <c r="B87" s="2" t="s">
        <v>417</v>
      </c>
      <c r="C87" s="4">
        <v>95368</v>
      </c>
      <c r="D87" s="4">
        <v>95368</v>
      </c>
      <c r="E87" s="4">
        <v>103851.528403</v>
      </c>
      <c r="F87" s="4">
        <v>130187.20513316921</v>
      </c>
      <c r="G87" s="2">
        <v>1.089</v>
      </c>
      <c r="H87" s="2">
        <v>1.365</v>
      </c>
    </row>
    <row r="88" spans="1:8" ht="16" x14ac:dyDescent="0.2">
      <c r="A88" s="2" t="s">
        <v>298</v>
      </c>
      <c r="B88" s="2" t="s">
        <v>418</v>
      </c>
      <c r="C88" s="4">
        <v>103772</v>
      </c>
      <c r="D88" s="4">
        <v>103772</v>
      </c>
      <c r="E88" s="4">
        <v>114148.519713</v>
      </c>
      <c r="F88" s="4">
        <v>144653.34357652499</v>
      </c>
      <c r="G88" s="2">
        <v>1.1000000000000001</v>
      </c>
      <c r="H88" s="2">
        <v>1.3939999999999999</v>
      </c>
    </row>
    <row r="89" spans="1:8" ht="16" x14ac:dyDescent="0.2">
      <c r="A89" s="2" t="s">
        <v>298</v>
      </c>
      <c r="B89" s="2" t="s">
        <v>419</v>
      </c>
      <c r="C89" s="4">
        <v>112888</v>
      </c>
      <c r="D89" s="4">
        <v>112888</v>
      </c>
      <c r="E89" s="4">
        <v>121180.885538</v>
      </c>
      <c r="F89" s="4">
        <v>152473.05776303171</v>
      </c>
      <c r="G89" s="2">
        <v>1.073</v>
      </c>
      <c r="H89" s="2">
        <v>1.351</v>
      </c>
    </row>
    <row r="90" spans="1:8" ht="16" x14ac:dyDescent="0.2">
      <c r="A90" s="2" t="s">
        <v>298</v>
      </c>
      <c r="B90" s="2" t="s">
        <v>420</v>
      </c>
      <c r="C90" s="4">
        <v>121049</v>
      </c>
      <c r="D90" s="4">
        <v>121049</v>
      </c>
      <c r="E90" s="4">
        <v>125939.29691999999</v>
      </c>
      <c r="F90" s="4">
        <v>157174.90524881959</v>
      </c>
      <c r="G90" s="2">
        <v>1.04</v>
      </c>
      <c r="H90" s="2">
        <v>1.298</v>
      </c>
    </row>
    <row r="91" spans="1:8" ht="16" x14ac:dyDescent="0.2">
      <c r="A91" s="2" t="s">
        <v>298</v>
      </c>
      <c r="B91" s="2" t="s">
        <v>421</v>
      </c>
      <c r="C91" s="4">
        <v>126913</v>
      </c>
      <c r="D91" s="4">
        <v>126913</v>
      </c>
      <c r="E91" s="4">
        <v>131997.22227</v>
      </c>
      <c r="F91" s="4">
        <v>159725.1884830535</v>
      </c>
      <c r="G91" s="2">
        <v>1.04</v>
      </c>
      <c r="H91" s="2">
        <v>1.2589999999999999</v>
      </c>
    </row>
    <row r="92" spans="1:8" ht="16" x14ac:dyDescent="0.2">
      <c r="A92" s="2" t="s">
        <v>298</v>
      </c>
      <c r="B92" s="2" t="s">
        <v>422</v>
      </c>
      <c r="C92" s="4">
        <v>133924</v>
      </c>
      <c r="D92" s="4">
        <v>133924</v>
      </c>
      <c r="E92" s="4">
        <v>145127.20814999999</v>
      </c>
      <c r="F92" s="4">
        <v>169745.0825932138</v>
      </c>
      <c r="G92" s="2">
        <v>1.0840000000000001</v>
      </c>
      <c r="H92" s="2">
        <v>1.2669999999999999</v>
      </c>
    </row>
    <row r="93" spans="1:8" ht="16" x14ac:dyDescent="0.2">
      <c r="A93" s="2" t="s">
        <v>298</v>
      </c>
      <c r="B93" s="2" t="s">
        <v>423</v>
      </c>
      <c r="C93" s="4">
        <v>145015</v>
      </c>
      <c r="D93" s="4">
        <v>145015</v>
      </c>
      <c r="E93" s="4">
        <v>160172.34506699999</v>
      </c>
      <c r="F93" s="4">
        <v>182538.9010426332</v>
      </c>
      <c r="G93" s="2">
        <v>1.105</v>
      </c>
      <c r="H93" s="2">
        <v>1.2589999999999999</v>
      </c>
    </row>
    <row r="94" spans="1:8" ht="16" x14ac:dyDescent="0.2">
      <c r="A94" s="2" t="s">
        <v>298</v>
      </c>
      <c r="B94" s="2" t="s">
        <v>424</v>
      </c>
      <c r="C94" s="4">
        <v>160049</v>
      </c>
      <c r="D94" s="4">
        <v>160049</v>
      </c>
      <c r="E94" s="4">
        <v>164116.14778999999</v>
      </c>
      <c r="F94" s="4">
        <v>188763.1758267043</v>
      </c>
      <c r="G94" s="2">
        <v>1.0249999999999999</v>
      </c>
      <c r="H94" s="2">
        <v>1.179</v>
      </c>
    </row>
    <row r="95" spans="1:8" ht="16" x14ac:dyDescent="0.2">
      <c r="A95" s="2" t="s">
        <v>298</v>
      </c>
      <c r="B95" s="2" t="s">
        <v>425</v>
      </c>
      <c r="C95" s="4">
        <v>164413</v>
      </c>
      <c r="D95" s="4">
        <v>164413</v>
      </c>
      <c r="E95" s="4">
        <v>172055.15321300001</v>
      </c>
      <c r="F95" s="4">
        <v>196698.36712051221</v>
      </c>
      <c r="G95" s="2">
        <v>1.046</v>
      </c>
      <c r="H95" s="2">
        <v>1.196</v>
      </c>
    </row>
    <row r="96" spans="1:8" ht="16" x14ac:dyDescent="0.2">
      <c r="A96" s="2" t="s">
        <v>298</v>
      </c>
      <c r="B96" s="2" t="s">
        <v>426</v>
      </c>
      <c r="C96" s="4">
        <v>172055</v>
      </c>
      <c r="D96" s="4">
        <v>172055</v>
      </c>
      <c r="E96" s="4">
        <v>176069.63412999999</v>
      </c>
      <c r="F96" s="4">
        <v>199026.68394617431</v>
      </c>
      <c r="G96" s="2">
        <v>1.0229999999999999</v>
      </c>
      <c r="H96" s="2">
        <v>1.157</v>
      </c>
    </row>
    <row r="97" spans="1:8" ht="16" x14ac:dyDescent="0.2">
      <c r="A97" s="2" t="s">
        <v>298</v>
      </c>
      <c r="B97" s="2" t="s">
        <v>427</v>
      </c>
      <c r="C97" s="4">
        <v>176069</v>
      </c>
      <c r="D97" s="4">
        <v>176069</v>
      </c>
      <c r="E97" s="4">
        <v>178752.44219</v>
      </c>
      <c r="F97" s="4">
        <v>202411.7222158403</v>
      </c>
      <c r="G97" s="2">
        <v>1.0149999999999999</v>
      </c>
      <c r="H97" s="2">
        <v>1.1499999999999999</v>
      </c>
    </row>
    <row r="98" spans="1:8" ht="16" x14ac:dyDescent="0.2">
      <c r="A98" s="2" t="s">
        <v>298</v>
      </c>
      <c r="B98" s="2" t="s">
        <v>428</v>
      </c>
      <c r="C98" s="4">
        <v>178752</v>
      </c>
      <c r="D98" s="4">
        <v>178752</v>
      </c>
      <c r="E98" s="4">
        <v>183633.12870500001</v>
      </c>
      <c r="F98" s="4">
        <v>210405.17759589909</v>
      </c>
      <c r="G98" s="2">
        <v>1.0269999999999999</v>
      </c>
      <c r="H98" s="2">
        <v>1.177</v>
      </c>
    </row>
    <row r="99" spans="1:8" ht="16" x14ac:dyDescent="0.2">
      <c r="A99" s="2" t="s">
        <v>298</v>
      </c>
      <c r="B99" s="2" t="s">
        <v>429</v>
      </c>
      <c r="C99" s="4">
        <v>183633</v>
      </c>
      <c r="D99" s="4">
        <v>183633</v>
      </c>
      <c r="E99" s="4">
        <v>190873.33853400001</v>
      </c>
      <c r="F99" s="4">
        <v>226492.67915943381</v>
      </c>
      <c r="G99" s="2">
        <v>1.0389999999999999</v>
      </c>
      <c r="H99" s="2">
        <v>1.2330000000000001</v>
      </c>
    </row>
    <row r="100" spans="1:8" ht="16" x14ac:dyDescent="0.2">
      <c r="A100" s="2" t="s">
        <v>298</v>
      </c>
      <c r="B100" s="2" t="s">
        <v>430</v>
      </c>
      <c r="C100" s="4">
        <v>190873</v>
      </c>
      <c r="D100" s="4">
        <v>190873</v>
      </c>
      <c r="E100" s="4">
        <v>201680.37461</v>
      </c>
      <c r="F100" s="4">
        <v>230563.41858966241</v>
      </c>
      <c r="G100" s="2">
        <v>1.0569999999999999</v>
      </c>
      <c r="H100" s="2">
        <v>1.208</v>
      </c>
    </row>
    <row r="101" spans="1:8" ht="16" x14ac:dyDescent="0.2">
      <c r="A101" s="2" t="s">
        <v>298</v>
      </c>
      <c r="B101" s="2" t="s">
        <v>431</v>
      </c>
      <c r="C101" s="4">
        <v>191211</v>
      </c>
      <c r="D101" s="4">
        <v>201680</v>
      </c>
      <c r="E101" s="4">
        <v>206816.151323</v>
      </c>
      <c r="F101" s="4">
        <v>235618.2132025967</v>
      </c>
      <c r="G101" s="2">
        <v>1.0820000000000001</v>
      </c>
      <c r="H101" s="2">
        <v>1.232</v>
      </c>
    </row>
    <row r="102" spans="1:8" ht="16" x14ac:dyDescent="0.2">
      <c r="A102" s="2" t="s">
        <v>298</v>
      </c>
      <c r="B102" s="2" t="s">
        <v>432</v>
      </c>
      <c r="C102" s="4">
        <v>206816</v>
      </c>
      <c r="D102" s="4">
        <v>206816</v>
      </c>
      <c r="E102" s="4">
        <v>211019.47458499999</v>
      </c>
      <c r="F102" s="4">
        <v>239137.16753988279</v>
      </c>
      <c r="G102" s="2">
        <v>1.02</v>
      </c>
      <c r="H102" s="2">
        <v>1.1559999999999999</v>
      </c>
    </row>
    <row r="103" spans="1:8" ht="16" x14ac:dyDescent="0.2">
      <c r="A103" s="2" t="s">
        <v>298</v>
      </c>
      <c r="B103" s="2" t="s">
        <v>433</v>
      </c>
      <c r="C103" s="4">
        <v>211019</v>
      </c>
      <c r="D103" s="4">
        <v>211019</v>
      </c>
      <c r="E103" s="4">
        <v>214527.25978600001</v>
      </c>
      <c r="F103" s="4">
        <v>243013.3950254677</v>
      </c>
      <c r="G103" s="2">
        <v>1.0169999999999999</v>
      </c>
      <c r="H103" s="2">
        <v>1.1519999999999999</v>
      </c>
    </row>
    <row r="104" spans="1:8" ht="16" x14ac:dyDescent="0.2">
      <c r="A104" s="2" t="s">
        <v>298</v>
      </c>
      <c r="B104" s="2" t="s">
        <v>434</v>
      </c>
      <c r="C104" s="4">
        <v>214527</v>
      </c>
      <c r="D104" s="4">
        <v>214527</v>
      </c>
      <c r="E104" s="4">
        <v>214508.52792399999</v>
      </c>
      <c r="F104" s="4">
        <v>246143.0833687211</v>
      </c>
      <c r="G104" s="2">
        <v>1</v>
      </c>
      <c r="H104" s="2">
        <v>1.147</v>
      </c>
    </row>
    <row r="105" spans="1:8" ht="16" x14ac:dyDescent="0.2">
      <c r="A105" s="2" t="s">
        <v>298</v>
      </c>
      <c r="B105" s="2" t="s">
        <v>435</v>
      </c>
      <c r="C105" s="4">
        <v>215368</v>
      </c>
      <c r="D105" s="4">
        <v>215368</v>
      </c>
      <c r="E105" s="4">
        <v>223609.946608</v>
      </c>
      <c r="F105" s="4">
        <v>248494.5401325901</v>
      </c>
      <c r="G105" s="2">
        <v>1.038</v>
      </c>
      <c r="H105" s="2">
        <v>1.1539999999999999</v>
      </c>
    </row>
    <row r="106" spans="1:8" ht="16" x14ac:dyDescent="0.2">
      <c r="A106" s="2" t="s">
        <v>298</v>
      </c>
      <c r="B106" s="2" t="s">
        <v>436</v>
      </c>
      <c r="C106" s="4">
        <v>223610</v>
      </c>
      <c r="D106" s="4">
        <v>223610</v>
      </c>
      <c r="E106" s="4">
        <v>227084.89741999999</v>
      </c>
      <c r="F106" s="4">
        <v>248827.79794850331</v>
      </c>
      <c r="G106" s="2">
        <v>1.016</v>
      </c>
      <c r="H106" s="2">
        <v>1.113</v>
      </c>
    </row>
    <row r="107" spans="1:8" ht="16" x14ac:dyDescent="0.2">
      <c r="A107" s="2" t="s">
        <v>298</v>
      </c>
      <c r="B107" s="2" t="s">
        <v>437</v>
      </c>
      <c r="C107" s="4">
        <v>227085</v>
      </c>
      <c r="D107" s="4">
        <v>227085</v>
      </c>
      <c r="E107" s="4">
        <v>227098.34815500001</v>
      </c>
      <c r="F107" s="4">
        <v>249396.32603448641</v>
      </c>
      <c r="G107" s="2">
        <v>1</v>
      </c>
      <c r="H107" s="2">
        <v>1.0980000000000001</v>
      </c>
    </row>
    <row r="108" spans="1:8" ht="16" x14ac:dyDescent="0.2">
      <c r="A108" s="2" t="s">
        <v>298</v>
      </c>
      <c r="B108" s="2" t="s">
        <v>438</v>
      </c>
      <c r="C108" s="4">
        <v>227098</v>
      </c>
      <c r="D108" s="4">
        <v>227098</v>
      </c>
      <c r="E108" s="4">
        <v>229651.39947999999</v>
      </c>
      <c r="F108" s="4">
        <v>249396.32603448641</v>
      </c>
      <c r="G108" s="2">
        <v>1.0109999999999999</v>
      </c>
      <c r="H108" s="2">
        <v>1.0980000000000001</v>
      </c>
    </row>
    <row r="109" spans="1:8" ht="16" x14ac:dyDescent="0.2">
      <c r="A109" s="2" t="s">
        <v>298</v>
      </c>
      <c r="B109" s="2" t="s">
        <v>439</v>
      </c>
      <c r="C109" s="4">
        <v>229651</v>
      </c>
      <c r="D109" s="4">
        <v>229651</v>
      </c>
      <c r="E109" s="4">
        <v>229651.39946300001</v>
      </c>
      <c r="F109" s="4">
        <v>249396.32603448399</v>
      </c>
      <c r="G109" s="2">
        <v>1</v>
      </c>
      <c r="H109" s="2">
        <v>1.0860000000000001</v>
      </c>
    </row>
    <row r="110" spans="1:8" ht="16" x14ac:dyDescent="0.2">
      <c r="A110" s="2" t="s">
        <v>298</v>
      </c>
      <c r="B110" s="2" t="s">
        <v>440</v>
      </c>
      <c r="C110" s="4">
        <v>229651</v>
      </c>
      <c r="D110" s="4">
        <v>229651</v>
      </c>
      <c r="E110" s="4"/>
      <c r="F110" s="4">
        <v>249396.32603448399</v>
      </c>
      <c r="G110" s="2"/>
      <c r="H110" s="2">
        <v>1.0860000000000001</v>
      </c>
    </row>
    <row r="111" spans="1:8" ht="16" x14ac:dyDescent="0.2">
      <c r="A111" s="2" t="s">
        <v>298</v>
      </c>
      <c r="B111" s="2" t="s">
        <v>441</v>
      </c>
      <c r="C111" s="4">
        <v>229651</v>
      </c>
      <c r="D111" s="4">
        <v>229651</v>
      </c>
      <c r="E111" s="4">
        <v>229651.399477</v>
      </c>
      <c r="F111" s="4">
        <v>249396.32603448399</v>
      </c>
      <c r="G111" s="2">
        <v>1</v>
      </c>
      <c r="H111" s="2">
        <v>1.0860000000000001</v>
      </c>
    </row>
    <row r="112" spans="1:8" ht="16" x14ac:dyDescent="0.2">
      <c r="A112" s="2" t="s">
        <v>298</v>
      </c>
      <c r="B112" s="2" t="s">
        <v>442</v>
      </c>
      <c r="C112" s="4">
        <v>229651</v>
      </c>
      <c r="D112" s="4">
        <v>229651</v>
      </c>
      <c r="E112" s="4"/>
      <c r="F112" s="4">
        <v>249396.32603448399</v>
      </c>
      <c r="G112" s="2"/>
      <c r="H112" s="2">
        <v>1.0860000000000001</v>
      </c>
    </row>
    <row r="113" spans="1:8" ht="16" x14ac:dyDescent="0.2">
      <c r="A113" s="2" t="s">
        <v>298</v>
      </c>
      <c r="B113" s="2" t="s">
        <v>443</v>
      </c>
      <c r="C113" s="4">
        <v>229651</v>
      </c>
      <c r="D113" s="4">
        <v>229651</v>
      </c>
      <c r="E113" s="4"/>
      <c r="F113" s="4">
        <v>249396.32603448399</v>
      </c>
      <c r="G113" s="2"/>
      <c r="H113" s="2">
        <v>1.0860000000000001</v>
      </c>
    </row>
    <row r="114" spans="1:8" ht="16" x14ac:dyDescent="0.2">
      <c r="A114" s="2" t="s">
        <v>298</v>
      </c>
      <c r="B114" s="2" t="s">
        <v>444</v>
      </c>
      <c r="C114" s="4">
        <v>229651</v>
      </c>
      <c r="D114" s="4">
        <v>229651</v>
      </c>
      <c r="E114" s="4">
        <v>229651.36565200001</v>
      </c>
      <c r="F114" s="4">
        <v>249396.32603448399</v>
      </c>
      <c r="G114" s="2">
        <v>1</v>
      </c>
      <c r="H114" s="2">
        <v>1.0860000000000001</v>
      </c>
    </row>
    <row r="115" spans="1:8" ht="16" x14ac:dyDescent="0.2">
      <c r="A115" s="2" t="s">
        <v>298</v>
      </c>
      <c r="B115" s="2" t="s">
        <v>445</v>
      </c>
      <c r="C115" s="4">
        <v>229651</v>
      </c>
      <c r="D115" s="4">
        <v>229651</v>
      </c>
      <c r="E115" s="4"/>
      <c r="F115" s="4">
        <v>249396.32603448399</v>
      </c>
      <c r="G115" s="2"/>
      <c r="H115" s="2">
        <v>1.0860000000000001</v>
      </c>
    </row>
    <row r="116" spans="1:8" ht="16" x14ac:dyDescent="0.2">
      <c r="A116" s="2" t="s">
        <v>298</v>
      </c>
      <c r="B116" s="2" t="s">
        <v>446</v>
      </c>
      <c r="C116" s="4">
        <v>229651</v>
      </c>
      <c r="D116" s="4">
        <v>229651</v>
      </c>
      <c r="E116" s="4">
        <v>229651.39947999999</v>
      </c>
      <c r="F116" s="4">
        <v>249396.32603448399</v>
      </c>
      <c r="G116" s="2">
        <v>1</v>
      </c>
      <c r="H116" s="2">
        <v>1.0860000000000001</v>
      </c>
    </row>
    <row r="117" spans="1:8" ht="16" x14ac:dyDescent="0.2">
      <c r="A117" s="2" t="s">
        <v>298</v>
      </c>
      <c r="B117" s="2" t="s">
        <v>447</v>
      </c>
      <c r="C117" s="4">
        <v>229651</v>
      </c>
      <c r="D117" s="4">
        <v>229651</v>
      </c>
      <c r="E117" s="4"/>
      <c r="F117" s="4">
        <v>249396.32603448399</v>
      </c>
      <c r="G117" s="2"/>
      <c r="H117" s="2">
        <v>1.0860000000000001</v>
      </c>
    </row>
    <row r="118" spans="1:8" ht="16" x14ac:dyDescent="0.2">
      <c r="A118" s="2" t="s">
        <v>298</v>
      </c>
      <c r="B118" s="2" t="s">
        <v>448</v>
      </c>
      <c r="C118" s="4">
        <v>229651</v>
      </c>
      <c r="D118" s="4">
        <v>229651</v>
      </c>
      <c r="E118" s="4">
        <v>229651.39947999999</v>
      </c>
      <c r="F118" s="4">
        <v>249396.32603448399</v>
      </c>
      <c r="G118" s="2">
        <v>1</v>
      </c>
      <c r="H118" s="2">
        <v>1.0860000000000001</v>
      </c>
    </row>
    <row r="119" spans="1:8" ht="16" x14ac:dyDescent="0.2">
      <c r="A119" s="2" t="s">
        <v>298</v>
      </c>
      <c r="B119" s="2" t="s">
        <v>449</v>
      </c>
      <c r="C119" s="4">
        <v>229651</v>
      </c>
      <c r="D119" s="4">
        <v>229651</v>
      </c>
      <c r="E119" s="4">
        <v>229651.39947999999</v>
      </c>
      <c r="F119" s="4">
        <v>249396.32603448399</v>
      </c>
      <c r="G119" s="2">
        <v>1</v>
      </c>
      <c r="H119" s="2">
        <v>1.0860000000000001</v>
      </c>
    </row>
    <row r="120" spans="1:8" ht="16" x14ac:dyDescent="0.2">
      <c r="A120" s="2" t="s">
        <v>298</v>
      </c>
      <c r="B120" s="2" t="s">
        <v>450</v>
      </c>
      <c r="C120" s="4"/>
      <c r="D120" s="4"/>
      <c r="E120" s="4">
        <v>229651.39947999999</v>
      </c>
      <c r="F120" s="4">
        <v>249396.32603448399</v>
      </c>
      <c r="G120" s="2"/>
      <c r="H120" s="2"/>
    </row>
    <row r="121" spans="1:8" ht="16" x14ac:dyDescent="0.2">
      <c r="A121" s="2" t="s">
        <v>298</v>
      </c>
      <c r="B121" s="2" t="s">
        <v>451</v>
      </c>
      <c r="C121" s="4"/>
      <c r="D121" s="4"/>
      <c r="E121" s="4"/>
      <c r="F121" s="4">
        <v>249396.32603448399</v>
      </c>
      <c r="G121" s="2"/>
      <c r="H121" s="2"/>
    </row>
    <row r="122" spans="1:8" ht="16" x14ac:dyDescent="0.2">
      <c r="A122" s="2" t="s">
        <v>298</v>
      </c>
      <c r="B122" s="2" t="s">
        <v>452</v>
      </c>
      <c r="C122" s="4"/>
      <c r="D122" s="4"/>
      <c r="E122" s="4"/>
      <c r="F122" s="4">
        <v>249433.6310999066</v>
      </c>
      <c r="G122" s="2"/>
      <c r="H122" s="2"/>
    </row>
    <row r="123" spans="1:8" ht="16" x14ac:dyDescent="0.2">
      <c r="A123" s="2" t="s">
        <v>298</v>
      </c>
      <c r="B123" s="2" t="s">
        <v>453</v>
      </c>
      <c r="C123" s="4"/>
      <c r="D123" s="4"/>
      <c r="E123" s="4"/>
      <c r="F123" s="4">
        <v>249433.6310999066</v>
      </c>
      <c r="G123" s="2"/>
      <c r="H123" s="2"/>
    </row>
    <row r="124" spans="1:8" ht="16" x14ac:dyDescent="0.2">
      <c r="A124" s="2" t="s">
        <v>298</v>
      </c>
      <c r="B124" s="2" t="s">
        <v>454</v>
      </c>
      <c r="C124" s="4"/>
      <c r="D124" s="4"/>
      <c r="E124" s="4"/>
      <c r="F124" s="4">
        <v>249433.6310999066</v>
      </c>
      <c r="G124" s="2"/>
      <c r="H124" s="2"/>
    </row>
    <row r="125" spans="1:8" ht="16" x14ac:dyDescent="0.2">
      <c r="A125" s="2" t="s">
        <v>307</v>
      </c>
      <c r="B125" s="2" t="s">
        <v>455</v>
      </c>
      <c r="C125" s="4">
        <v>18000</v>
      </c>
      <c r="D125" s="4">
        <v>70000</v>
      </c>
      <c r="E125" s="4">
        <v>70454.100342200007</v>
      </c>
      <c r="F125" s="4">
        <v>81810.139998757615</v>
      </c>
      <c r="G125" s="2">
        <v>3.9140000000000001</v>
      </c>
      <c r="H125" s="2">
        <v>4.5449999999999999</v>
      </c>
    </row>
    <row r="126" spans="1:8" ht="16" x14ac:dyDescent="0.2">
      <c r="A126" s="2" t="s">
        <v>307</v>
      </c>
      <c r="B126" s="2" t="s">
        <v>456</v>
      </c>
      <c r="C126" s="4">
        <v>90000</v>
      </c>
      <c r="D126" s="4"/>
      <c r="E126" s="4">
        <v>111552.36197500001</v>
      </c>
      <c r="F126" s="4">
        <v>99108.311404780077</v>
      </c>
      <c r="G126" s="2">
        <v>1.2390000000000001</v>
      </c>
      <c r="H126" s="2">
        <v>1.101</v>
      </c>
    </row>
    <row r="127" spans="1:8" ht="16" x14ac:dyDescent="0.2">
      <c r="A127" s="2" t="s">
        <v>307</v>
      </c>
      <c r="B127" s="2" t="s">
        <v>457</v>
      </c>
      <c r="C127" s="4">
        <v>105000</v>
      </c>
      <c r="D127" s="4"/>
      <c r="E127" s="4">
        <v>114866.20788</v>
      </c>
      <c r="F127" s="4">
        <v>106775.6204772075</v>
      </c>
      <c r="G127" s="2">
        <v>1.0940000000000001</v>
      </c>
      <c r="H127" s="2">
        <v>1.0169999999999999</v>
      </c>
    </row>
    <row r="128" spans="1:8" ht="16" x14ac:dyDescent="0.2">
      <c r="A128" s="2" t="s">
        <v>307</v>
      </c>
      <c r="B128" s="2" t="s">
        <v>458</v>
      </c>
      <c r="C128" s="4">
        <v>111000</v>
      </c>
      <c r="D128" s="4">
        <v>113000</v>
      </c>
      <c r="E128" s="4">
        <v>130394.42283700001</v>
      </c>
      <c r="F128" s="4">
        <v>124266.1611242225</v>
      </c>
      <c r="G128" s="2">
        <v>1.175</v>
      </c>
      <c r="H128" s="2">
        <v>1.1200000000000001</v>
      </c>
    </row>
    <row r="129" spans="1:8" ht="16" x14ac:dyDescent="0.2">
      <c r="A129" s="2" t="s">
        <v>307</v>
      </c>
      <c r="B129" s="2" t="s">
        <v>459</v>
      </c>
      <c r="C129" s="4">
        <v>117000</v>
      </c>
      <c r="D129" s="4">
        <v>117000</v>
      </c>
      <c r="E129" s="4">
        <v>128816.40973299999</v>
      </c>
      <c r="F129" s="4">
        <v>132586.3792455018</v>
      </c>
      <c r="G129" s="2">
        <v>1.101</v>
      </c>
      <c r="H129" s="2">
        <v>1.133</v>
      </c>
    </row>
    <row r="130" spans="1:8" ht="16" x14ac:dyDescent="0.2">
      <c r="A130" s="2" t="s">
        <v>307</v>
      </c>
      <c r="B130" s="2" t="s">
        <v>460</v>
      </c>
      <c r="C130" s="4">
        <v>130000</v>
      </c>
      <c r="D130" s="4">
        <v>130000</v>
      </c>
      <c r="E130" s="4">
        <v>136635.531759</v>
      </c>
      <c r="F130" s="4">
        <v>138115.68236912889</v>
      </c>
      <c r="G130" s="2">
        <v>1.0509999999999999</v>
      </c>
      <c r="H130" s="2">
        <v>1.0620000000000001</v>
      </c>
    </row>
    <row r="131" spans="1:8" ht="16" x14ac:dyDescent="0.2">
      <c r="A131" s="2" t="s">
        <v>307</v>
      </c>
      <c r="B131" s="2" t="s">
        <v>461</v>
      </c>
      <c r="C131" s="4">
        <v>138000</v>
      </c>
      <c r="D131" s="4">
        <v>140000</v>
      </c>
      <c r="E131" s="4">
        <v>142806.784678</v>
      </c>
      <c r="F131" s="4">
        <v>141086.82981449031</v>
      </c>
      <c r="G131" s="2">
        <v>1.0349999999999999</v>
      </c>
      <c r="H131" s="2">
        <v>1.022</v>
      </c>
    </row>
    <row r="132" spans="1:8" ht="16" x14ac:dyDescent="0.2">
      <c r="A132" s="2" t="s">
        <v>307</v>
      </c>
      <c r="B132" s="2" t="s">
        <v>462</v>
      </c>
      <c r="C132" s="4">
        <v>141000</v>
      </c>
      <c r="D132" s="4">
        <v>141000</v>
      </c>
      <c r="E132" s="4">
        <v>151575.190501</v>
      </c>
      <c r="F132" s="4">
        <v>144714.64454887441</v>
      </c>
      <c r="G132" s="2">
        <v>1.075</v>
      </c>
      <c r="H132" s="2">
        <v>1.026</v>
      </c>
    </row>
    <row r="133" spans="1:8" ht="16" x14ac:dyDescent="0.2">
      <c r="A133" s="2" t="s">
        <v>307</v>
      </c>
      <c r="B133" s="2" t="s">
        <v>463</v>
      </c>
      <c r="C133" s="4">
        <v>146000</v>
      </c>
      <c r="D133" s="4"/>
      <c r="E133" s="4">
        <v>148238.31341500001</v>
      </c>
      <c r="F133" s="4">
        <v>146407.06659461409</v>
      </c>
      <c r="G133" s="2">
        <v>1.0149999999999999</v>
      </c>
      <c r="H133" s="2">
        <v>1.0029999999999999</v>
      </c>
    </row>
    <row r="134" spans="1:8" ht="16" x14ac:dyDescent="0.2">
      <c r="A134" s="2" t="s">
        <v>307</v>
      </c>
      <c r="B134" s="2" t="s">
        <v>464</v>
      </c>
      <c r="C134" s="4">
        <v>149000</v>
      </c>
      <c r="D134" s="4"/>
      <c r="E134" s="4">
        <v>150628.48949400001</v>
      </c>
      <c r="F134" s="4">
        <v>147690.8948903339</v>
      </c>
      <c r="G134" s="2">
        <v>1.0109999999999999</v>
      </c>
      <c r="H134" s="2">
        <v>0.99099999999999999</v>
      </c>
    </row>
    <row r="135" spans="1:8" ht="16" x14ac:dyDescent="0.2">
      <c r="A135" s="2" t="s">
        <v>307</v>
      </c>
      <c r="B135" s="2" t="s">
        <v>465</v>
      </c>
      <c r="C135" s="4">
        <v>150000</v>
      </c>
      <c r="D135" s="4">
        <v>151000</v>
      </c>
      <c r="E135" s="4">
        <v>151472.37383900001</v>
      </c>
      <c r="F135" s="4">
        <v>149145.5794043293</v>
      </c>
      <c r="G135" s="2">
        <v>1.01</v>
      </c>
      <c r="H135" s="2">
        <v>0.99399999999999999</v>
      </c>
    </row>
    <row r="136" spans="1:8" ht="16" x14ac:dyDescent="0.2">
      <c r="A136" s="2" t="s">
        <v>307</v>
      </c>
      <c r="B136" s="2" t="s">
        <v>466</v>
      </c>
      <c r="C136" s="4">
        <v>151272</v>
      </c>
      <c r="D136" s="4">
        <v>151272</v>
      </c>
      <c r="E136" s="4">
        <v>151514.98020200001</v>
      </c>
      <c r="F136" s="4">
        <v>149869.08280069189</v>
      </c>
      <c r="G136" s="2">
        <v>1.002</v>
      </c>
      <c r="H136" s="2">
        <v>0.99099999999999999</v>
      </c>
    </row>
    <row r="137" spans="1:8" ht="16" x14ac:dyDescent="0.2">
      <c r="A137" s="2" t="s">
        <v>307</v>
      </c>
      <c r="B137" s="2" t="s">
        <v>467</v>
      </c>
      <c r="C137" s="4">
        <v>152250</v>
      </c>
      <c r="D137" s="4">
        <v>152250</v>
      </c>
      <c r="E137" s="4">
        <v>152687.78689700001</v>
      </c>
      <c r="F137" s="4">
        <v>150087.39639165209</v>
      </c>
      <c r="G137" s="2">
        <v>1.0029999999999999</v>
      </c>
      <c r="H137" s="2">
        <v>0.98599999999999999</v>
      </c>
    </row>
    <row r="138" spans="1:8" ht="16" x14ac:dyDescent="0.2">
      <c r="A138" s="2" t="s">
        <v>307</v>
      </c>
      <c r="B138" s="2" t="s">
        <v>468</v>
      </c>
      <c r="C138" s="4">
        <v>153336</v>
      </c>
      <c r="D138" s="4"/>
      <c r="E138" s="4">
        <v>153335.565462</v>
      </c>
      <c r="F138" s="4">
        <v>150087.39639165209</v>
      </c>
      <c r="G138" s="2">
        <v>1</v>
      </c>
      <c r="H138" s="2">
        <v>0.97899999999999998</v>
      </c>
    </row>
    <row r="139" spans="1:8" ht="16" x14ac:dyDescent="0.2">
      <c r="A139" s="2" t="s">
        <v>307</v>
      </c>
      <c r="B139" s="2" t="s">
        <v>469</v>
      </c>
      <c r="C139" s="4">
        <v>153336</v>
      </c>
      <c r="D139" s="4">
        <v>153336</v>
      </c>
      <c r="E139" s="4"/>
      <c r="F139" s="4">
        <v>150087.39639165209</v>
      </c>
      <c r="G139" s="2"/>
      <c r="H139" s="2">
        <v>0.97899999999999998</v>
      </c>
    </row>
    <row r="140" spans="1:8" ht="16" x14ac:dyDescent="0.2">
      <c r="A140" s="2" t="s">
        <v>307</v>
      </c>
      <c r="B140" s="2" t="s">
        <v>470</v>
      </c>
      <c r="C140" s="4">
        <v>153336</v>
      </c>
      <c r="D140" s="4"/>
      <c r="E140" s="4"/>
      <c r="F140" s="4">
        <v>150087.39639165209</v>
      </c>
      <c r="G140" s="2"/>
      <c r="H140" s="2">
        <v>0.97899999999999998</v>
      </c>
    </row>
    <row r="141" spans="1:8" ht="16" x14ac:dyDescent="0.2">
      <c r="A141" s="2" t="s">
        <v>307</v>
      </c>
      <c r="B141" s="2" t="s">
        <v>471</v>
      </c>
      <c r="C141" s="4">
        <v>153336</v>
      </c>
      <c r="D141" s="4"/>
      <c r="E141" s="4"/>
      <c r="F141" s="4">
        <v>150087.39639165209</v>
      </c>
      <c r="G141" s="2"/>
      <c r="H141" s="2">
        <v>0.97899999999999998</v>
      </c>
    </row>
    <row r="142" spans="1:8" ht="16" x14ac:dyDescent="0.2">
      <c r="A142" s="2" t="s">
        <v>307</v>
      </c>
      <c r="B142" s="2" t="s">
        <v>472</v>
      </c>
      <c r="C142" s="4">
        <v>153336</v>
      </c>
      <c r="D142" s="4"/>
      <c r="E142" s="4">
        <v>153335.565462</v>
      </c>
      <c r="F142" s="4">
        <v>150087.39639165209</v>
      </c>
      <c r="G142" s="2">
        <v>1</v>
      </c>
      <c r="H142" s="2">
        <v>0.97899999999999998</v>
      </c>
    </row>
    <row r="143" spans="1:8" ht="16" x14ac:dyDescent="0.2">
      <c r="A143" s="2" t="s">
        <v>307</v>
      </c>
      <c r="B143" s="2" t="s">
        <v>473</v>
      </c>
      <c r="C143" s="4"/>
      <c r="D143" s="4"/>
      <c r="E143" s="4"/>
      <c r="F143" s="4">
        <v>150087.39639165209</v>
      </c>
      <c r="G143" s="2"/>
      <c r="H143" s="2"/>
    </row>
    <row r="144" spans="1:8" ht="16" x14ac:dyDescent="0.2">
      <c r="A144" s="2" t="s">
        <v>307</v>
      </c>
      <c r="B144" s="2" t="s">
        <v>474</v>
      </c>
      <c r="C144" s="4"/>
      <c r="D144" s="4"/>
      <c r="E144" s="4"/>
      <c r="F144" s="4">
        <v>150087.39639165209</v>
      </c>
      <c r="G144" s="2"/>
      <c r="H144" s="2"/>
    </row>
    <row r="145" spans="1:8" ht="16" x14ac:dyDescent="0.2">
      <c r="A145" s="2" t="s">
        <v>307</v>
      </c>
      <c r="B145" s="2" t="s">
        <v>475</v>
      </c>
      <c r="C145" s="4"/>
      <c r="D145" s="4"/>
      <c r="E145" s="4"/>
      <c r="F145" s="4">
        <v>150087.39639165209</v>
      </c>
      <c r="G145" s="2"/>
      <c r="H145" s="2"/>
    </row>
    <row r="146" spans="1:8" ht="16" x14ac:dyDescent="0.2">
      <c r="A146" s="2" t="s">
        <v>307</v>
      </c>
      <c r="B146" s="2" t="s">
        <v>476</v>
      </c>
      <c r="C146" s="4"/>
      <c r="D146" s="4">
        <v>153336</v>
      </c>
      <c r="E146" s="4"/>
      <c r="F146" s="4">
        <v>150087.39639165209</v>
      </c>
      <c r="G146" s="2"/>
      <c r="H146" s="2"/>
    </row>
    <row r="147" spans="1:8" ht="16" x14ac:dyDescent="0.2">
      <c r="A147" s="2" t="s">
        <v>307</v>
      </c>
      <c r="B147" s="2" t="s">
        <v>477</v>
      </c>
      <c r="C147" s="4"/>
      <c r="D147" s="4"/>
      <c r="E147" s="4"/>
      <c r="F147" s="4">
        <v>150087.39639165209</v>
      </c>
      <c r="G147" s="2"/>
      <c r="H147" s="2"/>
    </row>
    <row r="148" spans="1:8" ht="16" x14ac:dyDescent="0.2">
      <c r="A148" s="2" t="s">
        <v>316</v>
      </c>
      <c r="B148" s="2" t="s">
        <v>478</v>
      </c>
      <c r="C148" s="4"/>
      <c r="D148" s="4">
        <v>3311</v>
      </c>
      <c r="E148" s="4"/>
      <c r="F148" s="4">
        <v>3574.7229923576342</v>
      </c>
      <c r="G148" s="2"/>
      <c r="H148" s="2"/>
    </row>
    <row r="149" spans="1:8" ht="16" x14ac:dyDescent="0.2">
      <c r="A149" s="2" t="s">
        <v>316</v>
      </c>
      <c r="B149" s="2" t="s">
        <v>479</v>
      </c>
      <c r="C149" s="4"/>
      <c r="D149" s="4">
        <v>33025</v>
      </c>
      <c r="E149" s="4"/>
      <c r="F149" s="4">
        <v>92012.557943320106</v>
      </c>
      <c r="G149" s="2"/>
      <c r="H149" s="2"/>
    </row>
    <row r="150" spans="1:8" ht="16" x14ac:dyDescent="0.2">
      <c r="A150" s="2" t="s">
        <v>316</v>
      </c>
      <c r="B150" s="2" t="s">
        <v>480</v>
      </c>
      <c r="C150" s="4">
        <v>124100</v>
      </c>
      <c r="D150" s="4">
        <v>124100</v>
      </c>
      <c r="E150" s="4"/>
      <c r="F150" s="4">
        <v>256748.1374797496</v>
      </c>
      <c r="G150" s="2"/>
      <c r="H150" s="2">
        <v>2.069</v>
      </c>
    </row>
    <row r="151" spans="1:8" ht="16" x14ac:dyDescent="0.2">
      <c r="A151" s="2" t="s">
        <v>316</v>
      </c>
      <c r="B151" s="2" t="s">
        <v>481</v>
      </c>
      <c r="C151" s="4">
        <v>215000</v>
      </c>
      <c r="D151" s="4">
        <v>215000</v>
      </c>
      <c r="E151" s="4"/>
      <c r="F151" s="4">
        <v>299453.09190442122</v>
      </c>
      <c r="G151" s="2"/>
      <c r="H151" s="2">
        <v>1.393</v>
      </c>
    </row>
    <row r="152" spans="1:8" ht="16" x14ac:dyDescent="0.2">
      <c r="A152" s="2" t="s">
        <v>316</v>
      </c>
      <c r="B152" s="2" t="s">
        <v>482</v>
      </c>
      <c r="C152" s="4">
        <v>302388</v>
      </c>
      <c r="D152" s="4">
        <v>302388</v>
      </c>
      <c r="E152" s="4"/>
      <c r="F152" s="4">
        <v>319993.78258928581</v>
      </c>
      <c r="G152" s="2"/>
      <c r="H152" s="2">
        <v>1.0580000000000001</v>
      </c>
    </row>
    <row r="153" spans="1:8" ht="16" x14ac:dyDescent="0.2">
      <c r="A153" s="2" t="s">
        <v>316</v>
      </c>
      <c r="B153" s="2" t="s">
        <v>483</v>
      </c>
      <c r="C153" s="4">
        <v>325128</v>
      </c>
      <c r="D153" s="4">
        <v>325128</v>
      </c>
      <c r="E153" s="4"/>
      <c r="F153" s="4">
        <v>329044.74215451209</v>
      </c>
      <c r="G153" s="2"/>
      <c r="H153" s="2">
        <v>1.012</v>
      </c>
    </row>
    <row r="154" spans="1:8" ht="16" x14ac:dyDescent="0.2">
      <c r="A154" s="2" t="s">
        <v>316</v>
      </c>
      <c r="B154" s="2" t="s">
        <v>484</v>
      </c>
      <c r="C154" s="4">
        <v>347630</v>
      </c>
      <c r="D154" s="4">
        <v>347630</v>
      </c>
      <c r="E154" s="4"/>
      <c r="F154" s="4">
        <v>340581.79475176323</v>
      </c>
      <c r="G154" s="2"/>
      <c r="H154" s="2">
        <v>0.98</v>
      </c>
    </row>
    <row r="155" spans="1:8" ht="16" x14ac:dyDescent="0.2">
      <c r="A155" s="2" t="s">
        <v>316</v>
      </c>
      <c r="B155" s="2" t="s">
        <v>485</v>
      </c>
      <c r="C155" s="4">
        <v>351817</v>
      </c>
      <c r="D155" s="4">
        <v>351817</v>
      </c>
      <c r="E155" s="4"/>
      <c r="F155" s="4">
        <v>351225.57690018008</v>
      </c>
      <c r="G155" s="2"/>
      <c r="H155" s="2">
        <v>0.998</v>
      </c>
    </row>
    <row r="156" spans="1:8" ht="16" x14ac:dyDescent="0.2">
      <c r="A156" s="2" t="s">
        <v>316</v>
      </c>
      <c r="B156" s="2" t="s">
        <v>486</v>
      </c>
      <c r="C156" s="4">
        <v>356326</v>
      </c>
      <c r="D156" s="4">
        <v>356326</v>
      </c>
      <c r="E156" s="4"/>
      <c r="F156" s="4">
        <v>361289.3431183506</v>
      </c>
      <c r="G156" s="2"/>
      <c r="H156" s="2">
        <v>1.014</v>
      </c>
    </row>
    <row r="157" spans="1:8" ht="16" x14ac:dyDescent="0.2">
      <c r="A157" s="2" t="s">
        <v>316</v>
      </c>
      <c r="B157" s="2" t="s">
        <v>487</v>
      </c>
      <c r="C157" s="4">
        <v>360868</v>
      </c>
      <c r="D157" s="4">
        <v>360868</v>
      </c>
      <c r="E157" s="4"/>
      <c r="F157" s="4">
        <v>367626.31957079069</v>
      </c>
      <c r="G157" s="2"/>
      <c r="H157" s="2">
        <v>1.0189999999999999</v>
      </c>
    </row>
    <row r="158" spans="1:8" ht="16" x14ac:dyDescent="0.2">
      <c r="A158" s="2" t="s">
        <v>316</v>
      </c>
      <c r="B158" s="2" t="s">
        <v>488</v>
      </c>
      <c r="C158" s="4">
        <v>369935</v>
      </c>
      <c r="D158" s="4">
        <v>369935</v>
      </c>
      <c r="E158" s="4"/>
      <c r="F158" s="4">
        <v>369686.79901448602</v>
      </c>
      <c r="G158" s="2"/>
      <c r="H158" s="2">
        <v>0.999</v>
      </c>
    </row>
    <row r="159" spans="1:8" ht="16" x14ac:dyDescent="0.2">
      <c r="A159" s="2" t="s">
        <v>316</v>
      </c>
      <c r="B159" s="2" t="s">
        <v>489</v>
      </c>
      <c r="C159" s="4">
        <v>372344</v>
      </c>
      <c r="D159" s="4">
        <v>372344</v>
      </c>
      <c r="E159" s="4"/>
      <c r="F159" s="4">
        <v>372280.86110135791</v>
      </c>
      <c r="G159" s="2"/>
      <c r="H159" s="2">
        <v>1</v>
      </c>
    </row>
    <row r="160" spans="1:8" ht="16" x14ac:dyDescent="0.2">
      <c r="A160" s="2" t="s">
        <v>316</v>
      </c>
      <c r="B160" s="2" t="s">
        <v>490</v>
      </c>
      <c r="C160" s="4">
        <v>373920</v>
      </c>
      <c r="D160" s="4">
        <v>373920</v>
      </c>
      <c r="E160" s="4"/>
      <c r="F160" s="4">
        <v>372518.83335909399</v>
      </c>
      <c r="G160" s="2"/>
      <c r="H160" s="2">
        <v>0.996</v>
      </c>
    </row>
    <row r="161" spans="1:8" ht="16" x14ac:dyDescent="0.2">
      <c r="A161" s="2" t="s">
        <v>316</v>
      </c>
      <c r="B161" s="2" t="s">
        <v>491</v>
      </c>
      <c r="C161" s="4">
        <v>375209</v>
      </c>
      <c r="D161" s="4">
        <v>375209</v>
      </c>
      <c r="E161" s="4"/>
      <c r="F161" s="4">
        <v>372518.83335909148</v>
      </c>
      <c r="G161" s="2"/>
      <c r="H161" s="2">
        <v>0.99299999999999999</v>
      </c>
    </row>
    <row r="162" spans="1:8" ht="16" x14ac:dyDescent="0.2">
      <c r="A162" s="2" t="s">
        <v>316</v>
      </c>
      <c r="B162" s="2" t="s">
        <v>492</v>
      </c>
      <c r="C162" s="4">
        <v>375209</v>
      </c>
      <c r="D162" s="4">
        <v>375209</v>
      </c>
      <c r="E162" s="4"/>
      <c r="F162" s="4">
        <v>372518.83335909399</v>
      </c>
      <c r="G162" s="2"/>
      <c r="H162" s="2">
        <v>0.99299999999999999</v>
      </c>
    </row>
    <row r="163" spans="1:8" ht="16" x14ac:dyDescent="0.2">
      <c r="A163" s="2" t="s">
        <v>316</v>
      </c>
      <c r="B163" s="2" t="s">
        <v>493</v>
      </c>
      <c r="C163" s="4">
        <v>375209</v>
      </c>
      <c r="D163" s="4">
        <v>375209</v>
      </c>
      <c r="E163" s="4"/>
      <c r="F163" s="4">
        <v>372518.83335909148</v>
      </c>
      <c r="G163" s="2"/>
      <c r="H163" s="2">
        <v>0.99299999999999999</v>
      </c>
    </row>
    <row r="164" spans="1:8" ht="16" x14ac:dyDescent="0.2">
      <c r="A164" s="2" t="s">
        <v>316</v>
      </c>
      <c r="B164" s="2" t="s">
        <v>494</v>
      </c>
      <c r="C164" s="4">
        <v>375209</v>
      </c>
      <c r="D164" s="4">
        <v>375209</v>
      </c>
      <c r="E164" s="4"/>
      <c r="F164" s="4">
        <v>372518.83335909148</v>
      </c>
      <c r="G164" s="2"/>
      <c r="H164" s="2">
        <v>0.99299999999999999</v>
      </c>
    </row>
    <row r="165" spans="1:8" ht="16" x14ac:dyDescent="0.2">
      <c r="A165" s="2" t="s">
        <v>316</v>
      </c>
      <c r="B165" s="2" t="s">
        <v>495</v>
      </c>
      <c r="C165" s="4">
        <v>375209</v>
      </c>
      <c r="D165" s="4">
        <v>375209</v>
      </c>
      <c r="E165" s="4"/>
      <c r="F165" s="4">
        <v>372518.83335909148</v>
      </c>
      <c r="G165" s="2"/>
      <c r="H165" s="2">
        <v>0.99299999999999999</v>
      </c>
    </row>
    <row r="166" spans="1:8" ht="16" x14ac:dyDescent="0.2">
      <c r="A166" s="2" t="s">
        <v>316</v>
      </c>
      <c r="B166" s="2" t="s">
        <v>496</v>
      </c>
      <c r="C166" s="4">
        <v>375209</v>
      </c>
      <c r="D166" s="4">
        <v>375209</v>
      </c>
      <c r="E166" s="4"/>
      <c r="F166" s="4">
        <v>372518.83335909148</v>
      </c>
      <c r="G166" s="2"/>
      <c r="H166" s="2">
        <v>0.99299999999999999</v>
      </c>
    </row>
    <row r="167" spans="1:8" ht="16" x14ac:dyDescent="0.2">
      <c r="A167" s="2" t="s">
        <v>316</v>
      </c>
      <c r="B167" s="2" t="s">
        <v>497</v>
      </c>
      <c r="C167" s="4">
        <v>375209</v>
      </c>
      <c r="D167" s="4">
        <v>375209</v>
      </c>
      <c r="E167" s="4"/>
      <c r="F167" s="4">
        <v>372518.83335909148</v>
      </c>
      <c r="G167" s="2"/>
      <c r="H167" s="2">
        <v>0.99299999999999999</v>
      </c>
    </row>
    <row r="168" spans="1:8" ht="16" x14ac:dyDescent="0.2">
      <c r="A168" s="2" t="s">
        <v>316</v>
      </c>
      <c r="B168" s="2" t="s">
        <v>498</v>
      </c>
      <c r="C168" s="4">
        <v>375209</v>
      </c>
      <c r="D168" s="4">
        <v>375209</v>
      </c>
      <c r="E168" s="4"/>
      <c r="F168" s="4">
        <v>372518.83335909148</v>
      </c>
      <c r="G168" s="2"/>
      <c r="H168" s="2">
        <v>0.99299999999999999</v>
      </c>
    </row>
    <row r="169" spans="1:8" ht="16" x14ac:dyDescent="0.2">
      <c r="A169" s="2" t="s">
        <v>316</v>
      </c>
      <c r="B169" s="2" t="s">
        <v>499</v>
      </c>
      <c r="C169" s="4">
        <v>375209</v>
      </c>
      <c r="D169" s="4">
        <v>375209</v>
      </c>
      <c r="E169" s="4"/>
      <c r="F169" s="4">
        <v>372518.83335909148</v>
      </c>
      <c r="G169" s="2"/>
      <c r="H169" s="2">
        <v>0.99299999999999999</v>
      </c>
    </row>
    <row r="170" spans="1:8" ht="16" x14ac:dyDescent="0.2">
      <c r="A170" s="2" t="s">
        <v>316</v>
      </c>
      <c r="B170" s="2" t="s">
        <v>500</v>
      </c>
      <c r="C170" s="4">
        <v>375209</v>
      </c>
      <c r="D170" s="4">
        <v>375209</v>
      </c>
      <c r="E170" s="4"/>
      <c r="F170" s="4">
        <v>372518.83335909148</v>
      </c>
      <c r="G170" s="2"/>
      <c r="H170" s="2">
        <v>0.99299999999999999</v>
      </c>
    </row>
    <row r="171" spans="1:8" ht="16" x14ac:dyDescent="0.2">
      <c r="A171" s="2" t="s">
        <v>316</v>
      </c>
      <c r="B171" s="2" t="s">
        <v>501</v>
      </c>
      <c r="C171" s="4">
        <v>363220</v>
      </c>
      <c r="D171" s="4">
        <v>363220</v>
      </c>
      <c r="E171" s="4"/>
      <c r="F171" s="4">
        <v>372518.83335909148</v>
      </c>
      <c r="G171" s="2"/>
      <c r="H171" s="2">
        <v>1.026</v>
      </c>
    </row>
    <row r="172" spans="1:8" ht="16" x14ac:dyDescent="0.2">
      <c r="A172" s="2" t="s">
        <v>316</v>
      </c>
      <c r="B172" s="2" t="s">
        <v>502</v>
      </c>
      <c r="C172" s="4">
        <v>363220</v>
      </c>
      <c r="D172" s="4">
        <v>363220</v>
      </c>
      <c r="E172" s="4"/>
      <c r="F172" s="4">
        <v>372518.83335909148</v>
      </c>
      <c r="G172" s="2"/>
      <c r="H172" s="2">
        <v>1.026</v>
      </c>
    </row>
    <row r="173" spans="1:8" ht="16" x14ac:dyDescent="0.2">
      <c r="A173" s="2" t="s">
        <v>316</v>
      </c>
      <c r="B173" s="2" t="s">
        <v>503</v>
      </c>
      <c r="C173" s="4">
        <v>363220</v>
      </c>
      <c r="D173" s="4">
        <v>363220</v>
      </c>
      <c r="E173" s="4"/>
      <c r="F173" s="4">
        <v>369711.46484412422</v>
      </c>
      <c r="G173" s="2"/>
      <c r="H173" s="2">
        <v>1.018</v>
      </c>
    </row>
    <row r="174" spans="1:8" ht="16" x14ac:dyDescent="0.2">
      <c r="A174" s="2" t="s">
        <v>316</v>
      </c>
      <c r="B174" s="2" t="s">
        <v>504</v>
      </c>
      <c r="C174" s="4">
        <v>363220</v>
      </c>
      <c r="D174" s="4">
        <v>363220</v>
      </c>
      <c r="E174" s="4"/>
      <c r="F174" s="4">
        <v>369711.46484412422</v>
      </c>
      <c r="G174" s="2"/>
      <c r="H174" s="2">
        <v>1.018</v>
      </c>
    </row>
    <row r="175" spans="1:8" ht="16" x14ac:dyDescent="0.2">
      <c r="A175" s="2" t="s">
        <v>316</v>
      </c>
      <c r="B175" s="2" t="s">
        <v>505</v>
      </c>
      <c r="C175" s="4">
        <v>363220</v>
      </c>
      <c r="D175" s="4">
        <v>363220</v>
      </c>
      <c r="E175" s="4"/>
      <c r="F175" s="4">
        <v>369711.46484412422</v>
      </c>
      <c r="G175" s="2"/>
      <c r="H175" s="2">
        <v>1.018</v>
      </c>
    </row>
    <row r="176" spans="1:8" ht="16" x14ac:dyDescent="0.2">
      <c r="A176" s="2" t="s">
        <v>316</v>
      </c>
      <c r="B176" s="2" t="s">
        <v>506</v>
      </c>
      <c r="C176" s="4">
        <v>363220</v>
      </c>
      <c r="D176" s="4">
        <v>363220</v>
      </c>
      <c r="E176" s="4"/>
      <c r="F176" s="4">
        <v>369711.46484412422</v>
      </c>
      <c r="G176" s="2"/>
      <c r="H176" s="2">
        <v>1.018</v>
      </c>
    </row>
    <row r="177" spans="1:8" ht="16" x14ac:dyDescent="0.2">
      <c r="A177" s="2" t="s">
        <v>316</v>
      </c>
      <c r="B177" s="2" t="s">
        <v>507</v>
      </c>
      <c r="C177" s="4">
        <v>363220</v>
      </c>
      <c r="D177" s="4">
        <v>363220</v>
      </c>
      <c r="E177" s="4"/>
      <c r="F177" s="4">
        <v>369711.46484412422</v>
      </c>
      <c r="G177" s="2"/>
      <c r="H177" s="2">
        <v>1.018</v>
      </c>
    </row>
    <row r="178" spans="1:8" ht="16" x14ac:dyDescent="0.2">
      <c r="A178" s="2" t="s">
        <v>316</v>
      </c>
      <c r="B178" s="2" t="s">
        <v>508</v>
      </c>
      <c r="C178" s="4">
        <v>363220</v>
      </c>
      <c r="D178" s="4">
        <v>363220</v>
      </c>
      <c r="E178" s="4"/>
      <c r="F178" s="4">
        <v>369711.46484412422</v>
      </c>
      <c r="G178" s="2"/>
      <c r="H178" s="2">
        <v>1.018</v>
      </c>
    </row>
    <row r="179" spans="1:8" ht="16" x14ac:dyDescent="0.2">
      <c r="A179" s="2" t="s">
        <v>316</v>
      </c>
      <c r="B179" s="2" t="s">
        <v>509</v>
      </c>
      <c r="C179" s="4"/>
      <c r="D179" s="4"/>
      <c r="E179" s="4"/>
      <c r="F179" s="4">
        <v>369711.46484412422</v>
      </c>
      <c r="G179" s="2"/>
      <c r="H179" s="2"/>
    </row>
    <row r="180" spans="1:8" ht="16" x14ac:dyDescent="0.2">
      <c r="A180" s="2" t="s">
        <v>316</v>
      </c>
      <c r="B180" s="2" t="s">
        <v>510</v>
      </c>
      <c r="C180" s="4"/>
      <c r="D180" s="4"/>
      <c r="E180" s="4"/>
      <c r="F180" s="4">
        <v>312525.72122387221</v>
      </c>
      <c r="G180" s="2"/>
      <c r="H180" s="2"/>
    </row>
    <row r="181" spans="1:8" ht="16" x14ac:dyDescent="0.2">
      <c r="A181" s="2" t="s">
        <v>316</v>
      </c>
      <c r="B181" s="2" t="s">
        <v>511</v>
      </c>
      <c r="C181" s="4"/>
      <c r="D181" s="4"/>
      <c r="E181" s="4"/>
      <c r="F181" s="4">
        <v>312525.72122387221</v>
      </c>
      <c r="G181" s="2"/>
      <c r="H181" s="2"/>
    </row>
    <row r="182" spans="1:8" ht="16" x14ac:dyDescent="0.2">
      <c r="A182" s="2" t="s">
        <v>316</v>
      </c>
      <c r="B182" s="2" t="s">
        <v>512</v>
      </c>
      <c r="C182" s="4"/>
      <c r="D182" s="4"/>
      <c r="E182" s="4"/>
      <c r="F182" s="4">
        <v>312525.72122387221</v>
      </c>
      <c r="G182" s="2"/>
      <c r="H182" s="2"/>
    </row>
    <row r="183" spans="1:8" ht="16" x14ac:dyDescent="0.2">
      <c r="A183" s="2" t="s">
        <v>316</v>
      </c>
      <c r="B183" s="2" t="s">
        <v>513</v>
      </c>
      <c r="C183" s="4"/>
      <c r="D183" s="4"/>
      <c r="E183" s="4"/>
      <c r="F183" s="4">
        <v>312525.72122387221</v>
      </c>
      <c r="G183" s="2"/>
      <c r="H183" s="2"/>
    </row>
    <row r="184" spans="1:8" ht="16" x14ac:dyDescent="0.2">
      <c r="A184" s="2" t="s">
        <v>316</v>
      </c>
      <c r="B184" s="2" t="s">
        <v>514</v>
      </c>
      <c r="C184" s="4">
        <v>363220</v>
      </c>
      <c r="D184" s="4"/>
      <c r="E184" s="4"/>
      <c r="F184" s="4"/>
      <c r="G184" s="2"/>
      <c r="H184" s="2"/>
    </row>
    <row r="185" spans="1:8" ht="16" x14ac:dyDescent="0.2">
      <c r="A185" s="2" t="s">
        <v>316</v>
      </c>
      <c r="B185" s="2" t="s">
        <v>515</v>
      </c>
      <c r="C185" s="4">
        <v>363220</v>
      </c>
      <c r="D185" s="4"/>
      <c r="E185" s="4"/>
      <c r="F185" s="4"/>
      <c r="G185" s="2"/>
      <c r="H185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4" customWidth="1"/>
    <col min="4" max="4" width="18" customWidth="1"/>
    <col min="5" max="6" width="16" customWidth="1"/>
  </cols>
  <sheetData>
    <row r="1" spans="1:7" ht="16" x14ac:dyDescent="0.2">
      <c r="A1" s="1" t="s">
        <v>272</v>
      </c>
      <c r="B1" s="1" t="s">
        <v>275</v>
      </c>
      <c r="C1" s="1" t="s">
        <v>516</v>
      </c>
      <c r="D1" s="1" t="s">
        <v>517</v>
      </c>
      <c r="E1" s="1" t="s">
        <v>518</v>
      </c>
      <c r="F1" s="1" t="s">
        <v>519</v>
      </c>
    </row>
    <row r="2" spans="1:7" ht="16" x14ac:dyDescent="0.2">
      <c r="A2" s="2" t="s">
        <v>276</v>
      </c>
      <c r="B2" s="2" t="s">
        <v>520</v>
      </c>
      <c r="C2" s="2">
        <v>80</v>
      </c>
      <c r="D2" s="2">
        <v>24</v>
      </c>
      <c r="E2" s="2">
        <v>24</v>
      </c>
      <c r="F2" s="2">
        <v>169</v>
      </c>
    </row>
    <row r="3" spans="1:7" ht="16" x14ac:dyDescent="0.2">
      <c r="A3" s="2" t="s">
        <v>276</v>
      </c>
      <c r="B3" s="2" t="s">
        <v>521</v>
      </c>
      <c r="C3" s="2">
        <v>88</v>
      </c>
      <c r="D3" s="2">
        <v>18.8</v>
      </c>
      <c r="E3" s="2">
        <v>30.4</v>
      </c>
      <c r="F3" s="2">
        <v>140.19999999999999</v>
      </c>
    </row>
    <row r="4" spans="1:7" ht="16" x14ac:dyDescent="0.2">
      <c r="A4" s="2" t="s">
        <v>298</v>
      </c>
      <c r="B4" s="2" t="s">
        <v>520</v>
      </c>
      <c r="C4" s="2">
        <v>78</v>
      </c>
      <c r="D4" s="2">
        <v>12</v>
      </c>
      <c r="E4" s="2">
        <v>18</v>
      </c>
      <c r="F4" s="2">
        <v>26</v>
      </c>
    </row>
    <row r="5" spans="1:7" ht="16" x14ac:dyDescent="0.2">
      <c r="A5" s="2" t="s">
        <v>298</v>
      </c>
      <c r="B5" s="2" t="s">
        <v>521</v>
      </c>
      <c r="C5" s="2">
        <v>62</v>
      </c>
      <c r="D5" s="2">
        <v>16.899999999999999</v>
      </c>
      <c r="E5" s="2">
        <v>24.4</v>
      </c>
      <c r="F5" s="2">
        <v>76.099999999999994</v>
      </c>
    </row>
    <row r="6" spans="1:7" ht="16" x14ac:dyDescent="0.2">
      <c r="A6" s="2" t="s">
        <v>298</v>
      </c>
      <c r="B6" s="2" t="s">
        <v>522</v>
      </c>
      <c r="C6" s="2">
        <v>88</v>
      </c>
      <c r="D6" s="2">
        <v>12</v>
      </c>
      <c r="E6" s="2">
        <v>12</v>
      </c>
      <c r="F6" s="2">
        <v>12</v>
      </c>
    </row>
    <row r="7" spans="1:7" ht="16" x14ac:dyDescent="0.2">
      <c r="A7" s="2" t="s">
        <v>307</v>
      </c>
      <c r="B7" s="2" t="s">
        <v>520</v>
      </c>
      <c r="C7" s="2">
        <v>37</v>
      </c>
      <c r="D7" s="2">
        <v>12</v>
      </c>
      <c r="E7" s="2">
        <v>12.4</v>
      </c>
      <c r="F7" s="2">
        <v>14.5</v>
      </c>
    </row>
    <row r="8" spans="1:7" ht="16" x14ac:dyDescent="0.2">
      <c r="A8" s="2" t="s">
        <v>307</v>
      </c>
      <c r="B8" s="2" t="s">
        <v>521</v>
      </c>
      <c r="C8" s="2">
        <v>27</v>
      </c>
      <c r="D8" s="2">
        <v>14.5</v>
      </c>
      <c r="E8" s="2">
        <v>21.6</v>
      </c>
      <c r="F8" s="2">
        <v>93.3</v>
      </c>
    </row>
    <row r="9" spans="1:7" ht="16" x14ac:dyDescent="0.2">
      <c r="A9" s="2" t="s">
        <v>307</v>
      </c>
      <c r="B9" s="2" t="s">
        <v>522</v>
      </c>
      <c r="C9" s="2">
        <v>45</v>
      </c>
      <c r="D9" s="2">
        <v>12</v>
      </c>
      <c r="E9" s="2">
        <v>12</v>
      </c>
      <c r="F9" s="2">
        <v>12</v>
      </c>
    </row>
    <row r="10" spans="1:7" ht="16" x14ac:dyDescent="0.2">
      <c r="A10" s="2" t="s">
        <v>316</v>
      </c>
      <c r="B10" s="2" t="s">
        <v>520</v>
      </c>
      <c r="C10" s="2">
        <v>60</v>
      </c>
      <c r="D10" s="2">
        <v>11.8</v>
      </c>
      <c r="E10" s="2">
        <v>21.9</v>
      </c>
      <c r="F10" s="2">
        <v>338</v>
      </c>
    </row>
    <row r="11" spans="1:7" ht="16" x14ac:dyDescent="0.2">
      <c r="A11" s="2" t="s">
        <v>316</v>
      </c>
      <c r="B11" s="2" t="s">
        <v>522</v>
      </c>
      <c r="C11" s="2">
        <v>70</v>
      </c>
      <c r="D11" s="2">
        <v>12</v>
      </c>
      <c r="E11" s="2">
        <v>12</v>
      </c>
      <c r="F11" s="2">
        <v>12</v>
      </c>
    </row>
    <row r="13" spans="1:7" x14ac:dyDescent="0.2">
      <c r="A13" s="5" t="s">
        <v>523</v>
      </c>
      <c r="B13" s="5" t="s">
        <v>524</v>
      </c>
      <c r="C13" s="5" t="s">
        <v>525</v>
      </c>
      <c r="D13" s="5" t="s">
        <v>526</v>
      </c>
      <c r="E13" s="5" t="s">
        <v>527</v>
      </c>
      <c r="F13" s="5" t="s">
        <v>528</v>
      </c>
      <c r="G13" s="5" t="s">
        <v>529</v>
      </c>
    </row>
    <row r="14" spans="1:7" x14ac:dyDescent="0.2">
      <c r="A14" t="s">
        <v>276</v>
      </c>
      <c r="B14">
        <v>56</v>
      </c>
      <c r="C14">
        <v>48</v>
      </c>
      <c r="D14">
        <v>11</v>
      </c>
      <c r="E14">
        <v>72</v>
      </c>
      <c r="F14">
        <v>71</v>
      </c>
      <c r="G14">
        <v>11</v>
      </c>
    </row>
    <row r="15" spans="1:7" x14ac:dyDescent="0.2">
      <c r="A15" t="s">
        <v>298</v>
      </c>
      <c r="B15">
        <v>28</v>
      </c>
      <c r="C15">
        <v>20</v>
      </c>
      <c r="D15">
        <v>2</v>
      </c>
      <c r="E15">
        <v>38</v>
      </c>
      <c r="F15">
        <v>37</v>
      </c>
      <c r="G15">
        <v>10</v>
      </c>
    </row>
    <row r="16" spans="1:7" x14ac:dyDescent="0.2">
      <c r="A16" t="s">
        <v>307</v>
      </c>
      <c r="B16">
        <v>13</v>
      </c>
      <c r="C16">
        <v>4</v>
      </c>
      <c r="D16">
        <v>2</v>
      </c>
      <c r="E16">
        <v>10</v>
      </c>
      <c r="F16">
        <v>6</v>
      </c>
      <c r="G16">
        <v>1</v>
      </c>
    </row>
    <row r="17" spans="1:7" x14ac:dyDescent="0.2">
      <c r="A17" t="s">
        <v>316</v>
      </c>
      <c r="E17">
        <v>28</v>
      </c>
      <c r="F17">
        <v>28</v>
      </c>
      <c r="G17">
        <v>16</v>
      </c>
    </row>
    <row r="18" spans="1:7" x14ac:dyDescent="0.2">
      <c r="A18" t="s">
        <v>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topLeftCell="C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4" customWidth="1"/>
    <col min="4" max="4" width="18" customWidth="1"/>
    <col min="5" max="5" width="16" customWidth="1"/>
    <col min="6" max="6" width="14" customWidth="1"/>
    <col min="7" max="7" width="12" customWidth="1"/>
  </cols>
  <sheetData>
    <row r="1" spans="1:7" ht="16" x14ac:dyDescent="0.2">
      <c r="A1" s="1" t="s">
        <v>272</v>
      </c>
      <c r="B1" s="1" t="s">
        <v>531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331</v>
      </c>
    </row>
    <row r="2" spans="1:7" ht="16" x14ac:dyDescent="0.2">
      <c r="A2" s="2" t="s">
        <v>276</v>
      </c>
      <c r="B2" s="2" t="s">
        <v>374</v>
      </c>
      <c r="C2" s="2">
        <v>140780</v>
      </c>
      <c r="D2" s="2">
        <v>157392.69</v>
      </c>
      <c r="E2" s="2"/>
      <c r="F2" s="2">
        <v>1.1200000000000001</v>
      </c>
      <c r="G2" s="2"/>
    </row>
    <row r="3" spans="1:7" ht="16" x14ac:dyDescent="0.2">
      <c r="A3" s="2" t="s">
        <v>276</v>
      </c>
      <c r="B3" s="2" t="s">
        <v>375</v>
      </c>
      <c r="C3" s="2">
        <v>157393</v>
      </c>
      <c r="D3" s="2">
        <v>164894.04999999999</v>
      </c>
      <c r="E3" s="2"/>
      <c r="F3" s="2">
        <v>1.05</v>
      </c>
      <c r="G3" s="2"/>
    </row>
    <row r="4" spans="1:7" ht="16" x14ac:dyDescent="0.2">
      <c r="A4" s="2" t="s">
        <v>276</v>
      </c>
      <c r="B4" s="2" t="s">
        <v>377</v>
      </c>
      <c r="C4" s="2">
        <v>179977</v>
      </c>
      <c r="D4" s="2">
        <v>180932.48000000001</v>
      </c>
      <c r="E4" s="2"/>
      <c r="F4" s="2">
        <v>1.01</v>
      </c>
      <c r="G4" s="2"/>
    </row>
    <row r="5" spans="1:7" ht="16" x14ac:dyDescent="0.2">
      <c r="A5" s="2" t="s">
        <v>298</v>
      </c>
      <c r="B5" s="2" t="s">
        <v>414</v>
      </c>
      <c r="C5" s="2">
        <v>28763</v>
      </c>
      <c r="D5" s="2">
        <v>44483.576930800002</v>
      </c>
      <c r="E5" s="2">
        <v>57659.35873806991</v>
      </c>
      <c r="F5" s="2">
        <v>1.55</v>
      </c>
      <c r="G5" s="2">
        <v>2</v>
      </c>
    </row>
    <row r="6" spans="1:7" ht="16" x14ac:dyDescent="0.2">
      <c r="A6" s="2" t="s">
        <v>298</v>
      </c>
      <c r="B6" s="2" t="s">
        <v>415</v>
      </c>
      <c r="C6" s="2">
        <v>48312</v>
      </c>
      <c r="D6" s="2">
        <v>80968.370675400001</v>
      </c>
      <c r="E6" s="2">
        <v>109434.7079202536</v>
      </c>
      <c r="F6" s="2">
        <v>1.68</v>
      </c>
      <c r="G6" s="2">
        <v>2.27</v>
      </c>
    </row>
    <row r="7" spans="1:7" ht="16" x14ac:dyDescent="0.2">
      <c r="A7" s="2" t="s">
        <v>298</v>
      </c>
      <c r="B7" s="2" t="s">
        <v>416</v>
      </c>
      <c r="C7" s="2">
        <v>83800</v>
      </c>
      <c r="D7" s="2">
        <v>95441.710374000002</v>
      </c>
      <c r="E7" s="2">
        <v>123375.3381331311</v>
      </c>
      <c r="F7" s="2">
        <v>1.1399999999999999</v>
      </c>
      <c r="G7" s="2">
        <v>1.47</v>
      </c>
    </row>
    <row r="8" spans="1:7" ht="16" x14ac:dyDescent="0.2">
      <c r="A8" s="2" t="s">
        <v>307</v>
      </c>
      <c r="B8" s="2" t="s">
        <v>455</v>
      </c>
      <c r="C8" s="2">
        <v>18000</v>
      </c>
      <c r="D8" s="2">
        <v>70454.100342200007</v>
      </c>
      <c r="E8" s="2">
        <v>81810.139998757615</v>
      </c>
      <c r="F8" s="2">
        <v>3.91</v>
      </c>
      <c r="G8" s="2">
        <v>4.55</v>
      </c>
    </row>
    <row r="9" spans="1:7" ht="16" x14ac:dyDescent="0.2">
      <c r="A9" s="2" t="s">
        <v>307</v>
      </c>
      <c r="B9" s="2" t="s">
        <v>456</v>
      </c>
      <c r="C9" s="2">
        <v>90000</v>
      </c>
      <c r="D9" s="2">
        <v>111552.36197500001</v>
      </c>
      <c r="E9" s="2">
        <v>99108.311404780077</v>
      </c>
      <c r="F9" s="2">
        <v>1.24</v>
      </c>
      <c r="G9" s="2">
        <v>1.1000000000000001</v>
      </c>
    </row>
    <row r="10" spans="1:7" ht="16" x14ac:dyDescent="0.2">
      <c r="A10" s="2" t="s">
        <v>307</v>
      </c>
      <c r="B10" s="2" t="s">
        <v>457</v>
      </c>
      <c r="C10" s="2">
        <v>105000</v>
      </c>
      <c r="D10" s="2">
        <v>114866.20788</v>
      </c>
      <c r="E10" s="2">
        <v>106775.6204772075</v>
      </c>
      <c r="F10" s="2">
        <v>1.0900000000000001</v>
      </c>
      <c r="G10" s="2">
        <v>1.02</v>
      </c>
    </row>
    <row r="11" spans="1:7" ht="16" x14ac:dyDescent="0.2">
      <c r="A11" s="2" t="s">
        <v>316</v>
      </c>
      <c r="B11" s="2" t="s">
        <v>480</v>
      </c>
      <c r="C11" s="2">
        <v>124100</v>
      </c>
      <c r="D11" s="2"/>
      <c r="E11" s="2">
        <v>256748.1374797496</v>
      </c>
      <c r="F11" s="2"/>
      <c r="G11" s="2">
        <v>2.0699999999999998</v>
      </c>
    </row>
    <row r="12" spans="1:7" ht="16" x14ac:dyDescent="0.2">
      <c r="A12" s="2" t="s">
        <v>316</v>
      </c>
      <c r="B12" s="2" t="s">
        <v>481</v>
      </c>
      <c r="C12" s="2">
        <v>215000</v>
      </c>
      <c r="D12" s="2"/>
      <c r="E12" s="2">
        <v>299453.09190442122</v>
      </c>
      <c r="F12" s="2"/>
      <c r="G12" s="2">
        <v>1.39</v>
      </c>
    </row>
    <row r="13" spans="1:7" ht="16" x14ac:dyDescent="0.2">
      <c r="A13" s="2" t="s">
        <v>316</v>
      </c>
      <c r="B13" s="2" t="s">
        <v>482</v>
      </c>
      <c r="C13" s="2">
        <v>302388</v>
      </c>
      <c r="D13" s="2"/>
      <c r="E13" s="2">
        <v>319993.78258928581</v>
      </c>
      <c r="F13" s="2"/>
      <c r="G13" s="2">
        <v>1.06</v>
      </c>
    </row>
    <row r="15" spans="1:7" x14ac:dyDescent="0.2">
      <c r="A15" t="s">
        <v>536</v>
      </c>
    </row>
    <row r="16" spans="1:7" x14ac:dyDescent="0.2">
      <c r="A16" t="s">
        <v>537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22" customWidth="1"/>
  </cols>
  <sheetData>
    <row r="1" spans="1:4" ht="16" x14ac:dyDescent="0.2">
      <c r="A1" s="1" t="s">
        <v>272</v>
      </c>
      <c r="B1" s="1" t="s">
        <v>531</v>
      </c>
      <c r="C1" s="1" t="s">
        <v>538</v>
      </c>
      <c r="D1" s="1" t="s">
        <v>539</v>
      </c>
    </row>
    <row r="2" spans="1:4" ht="16" x14ac:dyDescent="0.2">
      <c r="A2" s="2" t="s">
        <v>276</v>
      </c>
      <c r="B2" s="2" t="s">
        <v>333</v>
      </c>
      <c r="C2" s="2">
        <v>270</v>
      </c>
      <c r="D2" s="2">
        <v>0.77100000000000002</v>
      </c>
    </row>
    <row r="3" spans="1:4" ht="16" x14ac:dyDescent="0.2">
      <c r="A3" s="2" t="s">
        <v>276</v>
      </c>
      <c r="B3" s="2" t="s">
        <v>334</v>
      </c>
      <c r="C3" s="2">
        <v>680</v>
      </c>
      <c r="D3" s="2">
        <v>1.097</v>
      </c>
    </row>
    <row r="4" spans="1:4" ht="16" x14ac:dyDescent="0.2">
      <c r="A4" s="2" t="s">
        <v>276</v>
      </c>
      <c r="B4" s="2" t="s">
        <v>335</v>
      </c>
      <c r="C4" s="2">
        <v>1606</v>
      </c>
      <c r="D4" s="2">
        <v>1.2350000000000001</v>
      </c>
    </row>
    <row r="5" spans="1:4" ht="16" x14ac:dyDescent="0.2">
      <c r="A5" s="2" t="s">
        <v>276</v>
      </c>
      <c r="B5" s="2" t="s">
        <v>336</v>
      </c>
      <c r="C5" s="2">
        <v>622</v>
      </c>
      <c r="D5" s="2">
        <v>0.214</v>
      </c>
    </row>
    <row r="6" spans="1:4" ht="16" x14ac:dyDescent="0.2">
      <c r="A6" s="2" t="s">
        <v>276</v>
      </c>
      <c r="B6" s="2" t="s">
        <v>337</v>
      </c>
      <c r="C6" s="2">
        <v>197</v>
      </c>
      <c r="D6" s="2">
        <v>5.6000000000000001E-2</v>
      </c>
    </row>
    <row r="7" spans="1:4" ht="16" x14ac:dyDescent="0.2">
      <c r="A7" s="2" t="s">
        <v>276</v>
      </c>
      <c r="B7" s="2" t="s">
        <v>338</v>
      </c>
      <c r="C7" s="2">
        <v>877</v>
      </c>
      <c r="D7" s="2">
        <v>0.23499999999999999</v>
      </c>
    </row>
    <row r="8" spans="1:4" ht="16" x14ac:dyDescent="0.2">
      <c r="A8" s="2" t="s">
        <v>276</v>
      </c>
      <c r="B8" s="2" t="s">
        <v>339</v>
      </c>
      <c r="C8" s="2">
        <v>380</v>
      </c>
      <c r="D8" s="2">
        <v>8.3000000000000004E-2</v>
      </c>
    </row>
    <row r="9" spans="1:4" ht="16" x14ac:dyDescent="0.2">
      <c r="A9" s="2" t="s">
        <v>276</v>
      </c>
      <c r="B9" s="2" t="s">
        <v>340</v>
      </c>
      <c r="C9" s="2">
        <v>5102</v>
      </c>
      <c r="D9" s="2">
        <v>1.024</v>
      </c>
    </row>
    <row r="10" spans="1:4" ht="16" x14ac:dyDescent="0.2">
      <c r="A10" s="2" t="s">
        <v>276</v>
      </c>
      <c r="B10" s="2" t="s">
        <v>341</v>
      </c>
      <c r="C10" s="2">
        <v>2785</v>
      </c>
      <c r="D10" s="2">
        <v>0.27600000000000002</v>
      </c>
    </row>
    <row r="11" spans="1:4" ht="16" x14ac:dyDescent="0.2">
      <c r="A11" s="2" t="s">
        <v>276</v>
      </c>
      <c r="B11" s="2" t="s">
        <v>342</v>
      </c>
      <c r="C11" s="2">
        <v>3335</v>
      </c>
      <c r="D11" s="2">
        <v>0.25900000000000001</v>
      </c>
    </row>
    <row r="12" spans="1:4" ht="16" x14ac:dyDescent="0.2">
      <c r="A12" s="2" t="s">
        <v>276</v>
      </c>
      <c r="B12" s="2" t="s">
        <v>343</v>
      </c>
      <c r="C12" s="2">
        <v>2729</v>
      </c>
      <c r="D12" s="2">
        <v>0.16800000000000001</v>
      </c>
    </row>
    <row r="13" spans="1:4" ht="16" x14ac:dyDescent="0.2">
      <c r="A13" s="2" t="s">
        <v>276</v>
      </c>
      <c r="B13" s="2" t="s">
        <v>344</v>
      </c>
      <c r="C13" s="2">
        <v>8484</v>
      </c>
      <c r="D13" s="2">
        <v>0.44800000000000001</v>
      </c>
    </row>
    <row r="14" spans="1:4" ht="16" x14ac:dyDescent="0.2">
      <c r="A14" s="2" t="s">
        <v>276</v>
      </c>
      <c r="B14" s="2" t="s">
        <v>345</v>
      </c>
      <c r="C14" s="2">
        <v>10655</v>
      </c>
      <c r="D14" s="2">
        <v>0.38900000000000001</v>
      </c>
    </row>
    <row r="15" spans="1:4" ht="16" x14ac:dyDescent="0.2">
      <c r="A15" s="2" t="s">
        <v>276</v>
      </c>
      <c r="B15" s="2" t="s">
        <v>346</v>
      </c>
      <c r="C15" s="2">
        <v>3979</v>
      </c>
      <c r="D15" s="2">
        <v>0.105</v>
      </c>
    </row>
    <row r="16" spans="1:4" ht="16" x14ac:dyDescent="0.2">
      <c r="A16" s="2" t="s">
        <v>276</v>
      </c>
      <c r="B16" s="2" t="s">
        <v>347</v>
      </c>
      <c r="C16" s="2">
        <v>6299</v>
      </c>
      <c r="D16" s="2">
        <v>0.15</v>
      </c>
    </row>
    <row r="17" spans="1:4" ht="16" x14ac:dyDescent="0.2">
      <c r="A17" s="2" t="s">
        <v>276</v>
      </c>
      <c r="B17" s="2" t="s">
        <v>348</v>
      </c>
      <c r="C17" s="2">
        <v>2128</v>
      </c>
      <c r="D17" s="2">
        <v>4.3999999999999997E-2</v>
      </c>
    </row>
    <row r="18" spans="1:4" ht="16" x14ac:dyDescent="0.2">
      <c r="A18" s="2" t="s">
        <v>276</v>
      </c>
      <c r="B18" s="2" t="s">
        <v>349</v>
      </c>
      <c r="C18" s="2">
        <v>1425</v>
      </c>
      <c r="D18" s="2">
        <v>2.8000000000000001E-2</v>
      </c>
    </row>
    <row r="19" spans="1:4" ht="16" x14ac:dyDescent="0.2">
      <c r="A19" s="2" t="s">
        <v>276</v>
      </c>
      <c r="B19" s="2" t="s">
        <v>350</v>
      </c>
      <c r="C19" s="2">
        <v>6233</v>
      </c>
      <c r="D19" s="2">
        <v>0.12</v>
      </c>
    </row>
    <row r="20" spans="1:4" ht="16" x14ac:dyDescent="0.2">
      <c r="A20" s="2" t="s">
        <v>276</v>
      </c>
      <c r="B20" s="2" t="s">
        <v>351</v>
      </c>
      <c r="C20" s="2">
        <v>2746</v>
      </c>
      <c r="D20" s="2">
        <v>4.7E-2</v>
      </c>
    </row>
    <row r="21" spans="1:4" ht="16" x14ac:dyDescent="0.2">
      <c r="A21" s="2" t="s">
        <v>276</v>
      </c>
      <c r="B21" s="2" t="s">
        <v>352</v>
      </c>
      <c r="C21" s="2">
        <v>2480</v>
      </c>
      <c r="D21" s="2">
        <v>4.1000000000000002E-2</v>
      </c>
    </row>
    <row r="22" spans="1:4" ht="16" x14ac:dyDescent="0.2">
      <c r="A22" s="2" t="s">
        <v>276</v>
      </c>
      <c r="B22" s="2" t="s">
        <v>353</v>
      </c>
      <c r="C22" s="2">
        <v>989</v>
      </c>
      <c r="D22" s="2">
        <v>1.6E-2</v>
      </c>
    </row>
    <row r="23" spans="1:4" ht="16" x14ac:dyDescent="0.2">
      <c r="A23" s="2" t="s">
        <v>276</v>
      </c>
      <c r="B23" s="2" t="s">
        <v>354</v>
      </c>
      <c r="C23" s="2">
        <v>435</v>
      </c>
      <c r="D23" s="2">
        <v>7.0000000000000001E-3</v>
      </c>
    </row>
    <row r="24" spans="1:4" ht="16" x14ac:dyDescent="0.2">
      <c r="A24" s="2" t="s">
        <v>276</v>
      </c>
      <c r="B24" s="2" t="s">
        <v>355</v>
      </c>
      <c r="C24" s="2">
        <v>499</v>
      </c>
      <c r="D24" s="2">
        <v>8.0000000000000002E-3</v>
      </c>
    </row>
    <row r="25" spans="1:4" ht="16" x14ac:dyDescent="0.2">
      <c r="A25" s="2" t="s">
        <v>276</v>
      </c>
      <c r="B25" s="2" t="s">
        <v>356</v>
      </c>
      <c r="C25" s="2">
        <v>1599</v>
      </c>
      <c r="D25" s="2">
        <v>2.4E-2</v>
      </c>
    </row>
    <row r="26" spans="1:4" ht="16" x14ac:dyDescent="0.2">
      <c r="A26" s="2" t="s">
        <v>276</v>
      </c>
      <c r="B26" s="2" t="s">
        <v>357</v>
      </c>
      <c r="C26" s="2">
        <v>2009</v>
      </c>
      <c r="D26" s="2">
        <v>0.03</v>
      </c>
    </row>
    <row r="27" spans="1:4" ht="16" x14ac:dyDescent="0.2">
      <c r="A27" s="2" t="s">
        <v>276</v>
      </c>
      <c r="B27" s="2" t="s">
        <v>358</v>
      </c>
      <c r="C27" s="2">
        <v>2297</v>
      </c>
      <c r="D27" s="2">
        <v>3.3000000000000002E-2</v>
      </c>
    </row>
    <row r="28" spans="1:4" ht="16" x14ac:dyDescent="0.2">
      <c r="A28" s="2" t="s">
        <v>276</v>
      </c>
      <c r="B28" s="2" t="s">
        <v>359</v>
      </c>
      <c r="C28" s="2">
        <v>2168</v>
      </c>
      <c r="D28" s="2">
        <v>0.03</v>
      </c>
    </row>
    <row r="29" spans="1:4" ht="16" x14ac:dyDescent="0.2">
      <c r="A29" s="2" t="s">
        <v>276</v>
      </c>
      <c r="B29" s="2" t="s">
        <v>360</v>
      </c>
      <c r="C29" s="2">
        <v>3622</v>
      </c>
      <c r="D29" s="2">
        <v>4.9000000000000002E-2</v>
      </c>
    </row>
    <row r="30" spans="1:4" ht="16" x14ac:dyDescent="0.2">
      <c r="A30" s="2" t="s">
        <v>276</v>
      </c>
      <c r="B30" s="2" t="s">
        <v>361</v>
      </c>
      <c r="C30" s="2">
        <v>3390</v>
      </c>
      <c r="D30" s="2">
        <v>4.3999999999999997E-2</v>
      </c>
    </row>
    <row r="31" spans="1:4" ht="16" x14ac:dyDescent="0.2">
      <c r="A31" s="2" t="s">
        <v>276</v>
      </c>
      <c r="B31" s="2" t="s">
        <v>362</v>
      </c>
      <c r="C31" s="2">
        <v>1080</v>
      </c>
      <c r="D31" s="2">
        <v>1.2999999999999999E-2</v>
      </c>
    </row>
    <row r="32" spans="1:4" ht="16" x14ac:dyDescent="0.2">
      <c r="A32" s="2" t="s">
        <v>276</v>
      </c>
      <c r="B32" s="2" t="s">
        <v>363</v>
      </c>
      <c r="C32" s="2">
        <v>4580</v>
      </c>
      <c r="D32" s="2">
        <v>5.6000000000000001E-2</v>
      </c>
    </row>
    <row r="33" spans="1:4" ht="16" x14ac:dyDescent="0.2">
      <c r="A33" s="2" t="s">
        <v>276</v>
      </c>
      <c r="B33" s="2" t="s">
        <v>364</v>
      </c>
      <c r="C33" s="2">
        <v>1788</v>
      </c>
      <c r="D33" s="2">
        <v>2.1000000000000001E-2</v>
      </c>
    </row>
    <row r="34" spans="1:4" ht="16" x14ac:dyDescent="0.2">
      <c r="A34" s="2" t="s">
        <v>276</v>
      </c>
      <c r="B34" s="2" t="s">
        <v>365</v>
      </c>
      <c r="C34" s="2">
        <v>937</v>
      </c>
      <c r="D34" s="2">
        <v>1.0999999999999999E-2</v>
      </c>
    </row>
    <row r="35" spans="1:4" ht="16" x14ac:dyDescent="0.2">
      <c r="A35" s="2" t="s">
        <v>276</v>
      </c>
      <c r="B35" s="2" t="s">
        <v>366</v>
      </c>
      <c r="C35" s="2">
        <v>7714</v>
      </c>
      <c r="D35" s="2">
        <v>8.6999999999999994E-2</v>
      </c>
    </row>
    <row r="36" spans="1:4" ht="16" x14ac:dyDescent="0.2">
      <c r="A36" s="2" t="s">
        <v>276</v>
      </c>
      <c r="B36" s="2" t="s">
        <v>367</v>
      </c>
      <c r="C36" s="2">
        <v>3898</v>
      </c>
      <c r="D36" s="2">
        <v>0.04</v>
      </c>
    </row>
    <row r="37" spans="1:4" ht="16" x14ac:dyDescent="0.2">
      <c r="A37" s="2" t="s">
        <v>276</v>
      </c>
      <c r="B37" s="2" t="s">
        <v>368</v>
      </c>
      <c r="C37" s="2">
        <v>1555</v>
      </c>
      <c r="D37" s="2">
        <v>1.4999999999999999E-2</v>
      </c>
    </row>
    <row r="38" spans="1:4" ht="16" x14ac:dyDescent="0.2">
      <c r="A38" s="2" t="s">
        <v>276</v>
      </c>
      <c r="B38" s="2" t="s">
        <v>369</v>
      </c>
      <c r="C38" s="2">
        <v>824</v>
      </c>
      <c r="D38" s="2">
        <v>8.0000000000000002E-3</v>
      </c>
    </row>
    <row r="39" spans="1:4" ht="16" x14ac:dyDescent="0.2">
      <c r="A39" s="2" t="s">
        <v>276</v>
      </c>
      <c r="B39" s="2" t="s">
        <v>370</v>
      </c>
      <c r="C39" s="2">
        <v>1517</v>
      </c>
      <c r="D39" s="2">
        <v>1.4999999999999999E-2</v>
      </c>
    </row>
    <row r="40" spans="1:4" ht="16" x14ac:dyDescent="0.2">
      <c r="A40" s="2" t="s">
        <v>276</v>
      </c>
      <c r="B40" s="2" t="s">
        <v>371</v>
      </c>
      <c r="C40" s="2">
        <v>1212</v>
      </c>
      <c r="D40" s="2">
        <v>1.2E-2</v>
      </c>
    </row>
    <row r="41" spans="1:4" ht="16" x14ac:dyDescent="0.2">
      <c r="A41" s="2" t="s">
        <v>276</v>
      </c>
      <c r="B41" s="2" t="s">
        <v>372</v>
      </c>
      <c r="C41" s="2">
        <v>4119</v>
      </c>
      <c r="D41" s="2">
        <v>3.9E-2</v>
      </c>
    </row>
    <row r="42" spans="1:4" ht="16" x14ac:dyDescent="0.2">
      <c r="A42" s="2" t="s">
        <v>276</v>
      </c>
      <c r="B42" s="2" t="s">
        <v>373</v>
      </c>
      <c r="C42" s="2">
        <v>2010</v>
      </c>
      <c r="D42" s="2">
        <v>1.7999999999999999E-2</v>
      </c>
    </row>
    <row r="43" spans="1:4" ht="16" x14ac:dyDescent="0.2">
      <c r="A43" s="2" t="s">
        <v>276</v>
      </c>
      <c r="B43" s="2" t="s">
        <v>374</v>
      </c>
      <c r="C43" s="2">
        <v>29176</v>
      </c>
      <c r="D43" s="2">
        <v>0.26100000000000001</v>
      </c>
    </row>
    <row r="44" spans="1:4" ht="16" x14ac:dyDescent="0.2">
      <c r="A44" s="2" t="s">
        <v>276</v>
      </c>
      <c r="B44" s="2" t="s">
        <v>375</v>
      </c>
      <c r="C44" s="2">
        <v>16613</v>
      </c>
      <c r="D44" s="2">
        <v>0.11799999999999999</v>
      </c>
    </row>
    <row r="45" spans="1:4" ht="16" x14ac:dyDescent="0.2">
      <c r="A45" s="2" t="s">
        <v>276</v>
      </c>
      <c r="B45" s="2" t="s">
        <v>376</v>
      </c>
      <c r="C45" s="2">
        <v>7502</v>
      </c>
      <c r="D45" s="2">
        <v>4.8000000000000001E-2</v>
      </c>
    </row>
    <row r="46" spans="1:4" ht="16" x14ac:dyDescent="0.2">
      <c r="A46" s="2" t="s">
        <v>276</v>
      </c>
      <c r="B46" s="2" t="s">
        <v>377</v>
      </c>
      <c r="C46" s="2">
        <v>15082</v>
      </c>
      <c r="D46" s="2">
        <v>9.0999999999999998E-2</v>
      </c>
    </row>
    <row r="47" spans="1:4" ht="16" x14ac:dyDescent="0.2">
      <c r="A47" s="2" t="s">
        <v>276</v>
      </c>
      <c r="B47" s="2" t="s">
        <v>378</v>
      </c>
      <c r="C47" s="2">
        <v>323</v>
      </c>
      <c r="D47" s="2">
        <v>2E-3</v>
      </c>
    </row>
    <row r="48" spans="1:4" ht="16" x14ac:dyDescent="0.2">
      <c r="A48" s="2" t="s">
        <v>276</v>
      </c>
      <c r="B48" s="2" t="s">
        <v>379</v>
      </c>
      <c r="C48" s="2">
        <v>765</v>
      </c>
      <c r="D48" s="2">
        <v>4.0000000000000001E-3</v>
      </c>
    </row>
    <row r="49" spans="1:4" ht="16" x14ac:dyDescent="0.2">
      <c r="A49" s="2" t="s">
        <v>276</v>
      </c>
      <c r="B49" s="2" t="s">
        <v>380</v>
      </c>
      <c r="C49" s="2">
        <v>80</v>
      </c>
      <c r="D49" s="2">
        <v>0</v>
      </c>
    </row>
    <row r="50" spans="1:4" ht="16" x14ac:dyDescent="0.2">
      <c r="A50" s="2" t="s">
        <v>276</v>
      </c>
      <c r="B50" s="2" t="s">
        <v>381</v>
      </c>
      <c r="C50" s="2">
        <v>29</v>
      </c>
      <c r="D50" s="2">
        <v>0</v>
      </c>
    </row>
    <row r="51" spans="1:4" ht="16" x14ac:dyDescent="0.2">
      <c r="A51" s="2" t="s">
        <v>276</v>
      </c>
      <c r="B51" s="2" t="s">
        <v>382</v>
      </c>
      <c r="C51" s="2">
        <v>123</v>
      </c>
      <c r="D51" s="2">
        <v>1E-3</v>
      </c>
    </row>
    <row r="52" spans="1:4" ht="16" x14ac:dyDescent="0.2">
      <c r="A52" s="2" t="s">
        <v>276</v>
      </c>
      <c r="B52" s="2" t="s">
        <v>383</v>
      </c>
      <c r="C52" s="2">
        <v>277</v>
      </c>
      <c r="D52" s="2">
        <v>2E-3</v>
      </c>
    </row>
    <row r="53" spans="1:4" ht="16" x14ac:dyDescent="0.2">
      <c r="A53" s="2" t="s">
        <v>276</v>
      </c>
      <c r="B53" s="2" t="s">
        <v>384</v>
      </c>
      <c r="C53" s="2">
        <v>871</v>
      </c>
      <c r="D53" s="2">
        <v>5.0000000000000001E-3</v>
      </c>
    </row>
    <row r="54" spans="1:4" ht="16" x14ac:dyDescent="0.2">
      <c r="A54" s="2" t="s">
        <v>276</v>
      </c>
      <c r="B54" s="2" t="s">
        <v>385</v>
      </c>
      <c r="C54" s="2">
        <v>1063</v>
      </c>
      <c r="D54" s="2">
        <v>6.0000000000000001E-3</v>
      </c>
    </row>
    <row r="55" spans="1:4" ht="16" x14ac:dyDescent="0.2">
      <c r="A55" s="2" t="s">
        <v>276</v>
      </c>
      <c r="B55" s="2" t="s">
        <v>386</v>
      </c>
      <c r="C55" s="2">
        <v>868</v>
      </c>
      <c r="D55" s="2">
        <v>5.0000000000000001E-3</v>
      </c>
    </row>
    <row r="56" spans="1:4" ht="16" x14ac:dyDescent="0.2">
      <c r="A56" s="2" t="s">
        <v>276</v>
      </c>
      <c r="B56" s="2" t="s">
        <v>387</v>
      </c>
      <c r="C56" s="2">
        <v>1519</v>
      </c>
      <c r="D56" s="2">
        <v>8.0000000000000002E-3</v>
      </c>
    </row>
    <row r="57" spans="1:4" ht="16" x14ac:dyDescent="0.2">
      <c r="A57" s="2" t="s">
        <v>276</v>
      </c>
      <c r="B57" s="2" t="s">
        <v>388</v>
      </c>
      <c r="C57" s="2">
        <v>297</v>
      </c>
      <c r="D57" s="2">
        <v>2E-3</v>
      </c>
    </row>
    <row r="58" spans="1:4" ht="16" x14ac:dyDescent="0.2">
      <c r="A58" s="2" t="s">
        <v>276</v>
      </c>
      <c r="B58" s="2" t="s">
        <v>389</v>
      </c>
      <c r="C58" s="2">
        <v>169</v>
      </c>
      <c r="D58" s="2">
        <v>1E-3</v>
      </c>
    </row>
    <row r="59" spans="1:4" ht="16" x14ac:dyDescent="0.2">
      <c r="A59" s="2" t="s">
        <v>276</v>
      </c>
      <c r="B59" s="2" t="s">
        <v>390</v>
      </c>
      <c r="C59" s="2">
        <v>1951</v>
      </c>
      <c r="D59" s="2">
        <v>0.01</v>
      </c>
    </row>
    <row r="60" spans="1:4" ht="16" x14ac:dyDescent="0.2">
      <c r="A60" s="2" t="s">
        <v>276</v>
      </c>
      <c r="B60" s="2" t="s">
        <v>391</v>
      </c>
      <c r="C60" s="2">
        <v>68</v>
      </c>
      <c r="D60" s="2">
        <v>0</v>
      </c>
    </row>
    <row r="61" spans="1:4" ht="16" x14ac:dyDescent="0.2">
      <c r="A61" s="2" t="s">
        <v>276</v>
      </c>
      <c r="B61" s="2" t="s">
        <v>392</v>
      </c>
      <c r="C61" s="2">
        <v>17</v>
      </c>
      <c r="D61" s="2">
        <v>0</v>
      </c>
    </row>
    <row r="62" spans="1:4" ht="16" x14ac:dyDescent="0.2">
      <c r="A62" s="2" t="s">
        <v>276</v>
      </c>
      <c r="B62" s="2" t="s">
        <v>393</v>
      </c>
      <c r="C62" s="2">
        <v>0</v>
      </c>
      <c r="D62" s="2">
        <v>0</v>
      </c>
    </row>
    <row r="63" spans="1:4" ht="16" x14ac:dyDescent="0.2">
      <c r="A63" s="2" t="s">
        <v>276</v>
      </c>
      <c r="B63" s="2" t="s">
        <v>394</v>
      </c>
      <c r="C63" s="2">
        <v>7</v>
      </c>
      <c r="D63" s="2">
        <v>0</v>
      </c>
    </row>
    <row r="64" spans="1:4" ht="16" x14ac:dyDescent="0.2">
      <c r="A64" s="2" t="s">
        <v>276</v>
      </c>
      <c r="B64" s="2" t="s">
        <v>395</v>
      </c>
      <c r="C64" s="2">
        <v>0</v>
      </c>
      <c r="D64" s="2">
        <v>0</v>
      </c>
    </row>
    <row r="65" spans="1:4" ht="16" x14ac:dyDescent="0.2">
      <c r="A65" s="2" t="s">
        <v>276</v>
      </c>
      <c r="B65" s="2" t="s">
        <v>396</v>
      </c>
      <c r="C65" s="2">
        <v>0</v>
      </c>
      <c r="D65" s="2">
        <v>0</v>
      </c>
    </row>
    <row r="66" spans="1:4" ht="16" x14ac:dyDescent="0.2">
      <c r="A66" s="2" t="s">
        <v>276</v>
      </c>
      <c r="B66" s="2" t="s">
        <v>397</v>
      </c>
      <c r="C66" s="2">
        <v>0</v>
      </c>
      <c r="D66" s="2">
        <v>0</v>
      </c>
    </row>
    <row r="67" spans="1:4" ht="16" x14ac:dyDescent="0.2">
      <c r="A67" s="2" t="s">
        <v>276</v>
      </c>
      <c r="B67" s="2" t="s">
        <v>398</v>
      </c>
      <c r="C67" s="2">
        <v>0</v>
      </c>
      <c r="D67" s="2">
        <v>0</v>
      </c>
    </row>
    <row r="68" spans="1:4" ht="16" x14ac:dyDescent="0.2">
      <c r="A68" s="2" t="s">
        <v>276</v>
      </c>
      <c r="B68" s="2" t="s">
        <v>399</v>
      </c>
      <c r="C68" s="2">
        <v>0</v>
      </c>
      <c r="D68" s="2">
        <v>0</v>
      </c>
    </row>
    <row r="69" spans="1:4" ht="16" x14ac:dyDescent="0.2">
      <c r="A69" s="2" t="s">
        <v>276</v>
      </c>
      <c r="B69" s="2" t="s">
        <v>400</v>
      </c>
      <c r="C69" s="2">
        <v>0</v>
      </c>
      <c r="D69" s="2">
        <v>0</v>
      </c>
    </row>
    <row r="70" spans="1:4" ht="16" x14ac:dyDescent="0.2">
      <c r="A70" s="2" t="s">
        <v>276</v>
      </c>
      <c r="B70" s="2" t="s">
        <v>401</v>
      </c>
      <c r="C70" s="2">
        <v>0</v>
      </c>
      <c r="D70" s="2">
        <v>0</v>
      </c>
    </row>
    <row r="71" spans="1:4" ht="16" x14ac:dyDescent="0.2">
      <c r="A71" s="2" t="s">
        <v>276</v>
      </c>
      <c r="B71" s="2" t="s">
        <v>402</v>
      </c>
      <c r="C71" s="2">
        <v>0</v>
      </c>
      <c r="D71" s="2">
        <v>0</v>
      </c>
    </row>
    <row r="72" spans="1:4" ht="16" x14ac:dyDescent="0.2">
      <c r="A72" s="2" t="s">
        <v>276</v>
      </c>
      <c r="B72" s="2" t="s">
        <v>403</v>
      </c>
      <c r="C72" s="2">
        <v>0</v>
      </c>
      <c r="D72" s="2">
        <v>0</v>
      </c>
    </row>
    <row r="73" spans="1:4" ht="16" x14ac:dyDescent="0.2">
      <c r="A73" s="2" t="s">
        <v>276</v>
      </c>
      <c r="B73" s="2" t="s">
        <v>404</v>
      </c>
      <c r="C73" s="2">
        <v>0</v>
      </c>
      <c r="D73" s="2">
        <v>0</v>
      </c>
    </row>
    <row r="74" spans="1:4" ht="16" x14ac:dyDescent="0.2">
      <c r="A74" s="2" t="s">
        <v>298</v>
      </c>
      <c r="B74" s="2" t="s">
        <v>412</v>
      </c>
      <c r="C74" s="2">
        <v>1626</v>
      </c>
      <c r="D74" s="2">
        <v>1.0840000000000001</v>
      </c>
    </row>
    <row r="75" spans="1:4" ht="16" x14ac:dyDescent="0.2">
      <c r="A75" s="2" t="s">
        <v>298</v>
      </c>
      <c r="B75" s="2" t="s">
        <v>413</v>
      </c>
      <c r="C75" s="2">
        <v>3647</v>
      </c>
      <c r="D75" s="2">
        <v>1.167</v>
      </c>
    </row>
    <row r="76" spans="1:4" ht="16" x14ac:dyDescent="0.2">
      <c r="A76" s="2" t="s">
        <v>298</v>
      </c>
      <c r="B76" s="2" t="s">
        <v>414</v>
      </c>
      <c r="C76" s="2">
        <v>21990</v>
      </c>
      <c r="D76" s="2">
        <v>3.2469999999999999</v>
      </c>
    </row>
    <row r="77" spans="1:4" ht="16" x14ac:dyDescent="0.2">
      <c r="A77" s="2" t="s">
        <v>298</v>
      </c>
      <c r="B77" s="2" t="s">
        <v>415</v>
      </c>
      <c r="C77" s="2">
        <v>19549</v>
      </c>
      <c r="D77" s="2">
        <v>0.68</v>
      </c>
    </row>
    <row r="78" spans="1:4" ht="16" x14ac:dyDescent="0.2">
      <c r="A78" s="2" t="s">
        <v>298</v>
      </c>
      <c r="B78" s="2" t="s">
        <v>416</v>
      </c>
      <c r="C78" s="2">
        <v>35488</v>
      </c>
      <c r="D78" s="2">
        <v>0.73499999999999999</v>
      </c>
    </row>
    <row r="79" spans="1:4" ht="16" x14ac:dyDescent="0.2">
      <c r="A79" s="2" t="s">
        <v>298</v>
      </c>
      <c r="B79" s="2" t="s">
        <v>417</v>
      </c>
      <c r="C79" s="2">
        <v>11568</v>
      </c>
      <c r="D79" s="2">
        <v>0.13800000000000001</v>
      </c>
    </row>
    <row r="80" spans="1:4" ht="16" x14ac:dyDescent="0.2">
      <c r="A80" s="2" t="s">
        <v>298</v>
      </c>
      <c r="B80" s="2" t="s">
        <v>418</v>
      </c>
      <c r="C80" s="2">
        <v>8404</v>
      </c>
      <c r="D80" s="2">
        <v>8.7999999999999995E-2</v>
      </c>
    </row>
    <row r="81" spans="1:4" ht="16" x14ac:dyDescent="0.2">
      <c r="A81" s="2" t="s">
        <v>298</v>
      </c>
      <c r="B81" s="2" t="s">
        <v>419</v>
      </c>
      <c r="C81" s="2">
        <v>9116</v>
      </c>
      <c r="D81" s="2">
        <v>8.7999999999999995E-2</v>
      </c>
    </row>
    <row r="82" spans="1:4" ht="16" x14ac:dyDescent="0.2">
      <c r="A82" s="2" t="s">
        <v>298</v>
      </c>
      <c r="B82" s="2" t="s">
        <v>420</v>
      </c>
      <c r="C82" s="2">
        <v>8161</v>
      </c>
      <c r="D82" s="2">
        <v>7.1999999999999995E-2</v>
      </c>
    </row>
    <row r="83" spans="1:4" ht="16" x14ac:dyDescent="0.2">
      <c r="A83" s="2" t="s">
        <v>298</v>
      </c>
      <c r="B83" s="2" t="s">
        <v>421</v>
      </c>
      <c r="C83" s="2">
        <v>5864</v>
      </c>
      <c r="D83" s="2">
        <v>4.8000000000000001E-2</v>
      </c>
    </row>
    <row r="84" spans="1:4" ht="16" x14ac:dyDescent="0.2">
      <c r="A84" s="2" t="s">
        <v>298</v>
      </c>
      <c r="B84" s="2" t="s">
        <v>422</v>
      </c>
      <c r="C84" s="2">
        <v>7011</v>
      </c>
      <c r="D84" s="2">
        <v>5.5E-2</v>
      </c>
    </row>
    <row r="85" spans="1:4" ht="16" x14ac:dyDescent="0.2">
      <c r="A85" s="2" t="s">
        <v>298</v>
      </c>
      <c r="B85" s="2" t="s">
        <v>423</v>
      </c>
      <c r="C85" s="2">
        <v>11091</v>
      </c>
      <c r="D85" s="2">
        <v>8.3000000000000004E-2</v>
      </c>
    </row>
    <row r="86" spans="1:4" ht="16" x14ac:dyDescent="0.2">
      <c r="A86" s="2" t="s">
        <v>298</v>
      </c>
      <c r="B86" s="2" t="s">
        <v>424</v>
      </c>
      <c r="C86" s="2">
        <v>15034</v>
      </c>
      <c r="D86" s="2">
        <v>0.104</v>
      </c>
    </row>
    <row r="87" spans="1:4" ht="16" x14ac:dyDescent="0.2">
      <c r="A87" s="2" t="s">
        <v>298</v>
      </c>
      <c r="B87" s="2" t="s">
        <v>425</v>
      </c>
      <c r="C87" s="2">
        <v>4364</v>
      </c>
      <c r="D87" s="2">
        <v>2.7E-2</v>
      </c>
    </row>
    <row r="88" spans="1:4" ht="16" x14ac:dyDescent="0.2">
      <c r="A88" s="2" t="s">
        <v>298</v>
      </c>
      <c r="B88" s="2" t="s">
        <v>426</v>
      </c>
      <c r="C88" s="2">
        <v>7642</v>
      </c>
      <c r="D88" s="2">
        <v>4.5999999999999999E-2</v>
      </c>
    </row>
    <row r="89" spans="1:4" ht="16" x14ac:dyDescent="0.2">
      <c r="A89" s="2" t="s">
        <v>298</v>
      </c>
      <c r="B89" s="2" t="s">
        <v>427</v>
      </c>
      <c r="C89" s="2">
        <v>4014</v>
      </c>
      <c r="D89" s="2">
        <v>2.3E-2</v>
      </c>
    </row>
    <row r="90" spans="1:4" ht="16" x14ac:dyDescent="0.2">
      <c r="A90" s="2" t="s">
        <v>298</v>
      </c>
      <c r="B90" s="2" t="s">
        <v>428</v>
      </c>
      <c r="C90" s="2">
        <v>2683</v>
      </c>
      <c r="D90" s="2">
        <v>1.4999999999999999E-2</v>
      </c>
    </row>
    <row r="91" spans="1:4" ht="16" x14ac:dyDescent="0.2">
      <c r="A91" s="2" t="s">
        <v>298</v>
      </c>
      <c r="B91" s="2" t="s">
        <v>429</v>
      </c>
      <c r="C91" s="2">
        <v>4881</v>
      </c>
      <c r="D91" s="2">
        <v>2.7E-2</v>
      </c>
    </row>
    <row r="92" spans="1:4" ht="16" x14ac:dyDescent="0.2">
      <c r="A92" s="2" t="s">
        <v>298</v>
      </c>
      <c r="B92" s="2" t="s">
        <v>430</v>
      </c>
      <c r="C92" s="2">
        <v>7240</v>
      </c>
      <c r="D92" s="2">
        <v>3.9E-2</v>
      </c>
    </row>
    <row r="93" spans="1:4" ht="16" x14ac:dyDescent="0.2">
      <c r="A93" s="2" t="s">
        <v>298</v>
      </c>
      <c r="B93" s="2" t="s">
        <v>431</v>
      </c>
      <c r="C93" s="2">
        <v>338</v>
      </c>
      <c r="D93" s="2">
        <v>2E-3</v>
      </c>
    </row>
    <row r="94" spans="1:4" ht="16" x14ac:dyDescent="0.2">
      <c r="A94" s="2" t="s">
        <v>298</v>
      </c>
      <c r="B94" s="2" t="s">
        <v>432</v>
      </c>
      <c r="C94" s="2">
        <v>15605</v>
      </c>
      <c r="D94" s="2">
        <v>8.2000000000000003E-2</v>
      </c>
    </row>
    <row r="95" spans="1:4" ht="16" x14ac:dyDescent="0.2">
      <c r="A95" s="2" t="s">
        <v>298</v>
      </c>
      <c r="B95" s="2" t="s">
        <v>433</v>
      </c>
      <c r="C95" s="2">
        <v>4203</v>
      </c>
      <c r="D95" s="2">
        <v>0.02</v>
      </c>
    </row>
    <row r="96" spans="1:4" ht="16" x14ac:dyDescent="0.2">
      <c r="A96" s="2" t="s">
        <v>298</v>
      </c>
      <c r="B96" s="2" t="s">
        <v>434</v>
      </c>
      <c r="C96" s="2">
        <v>3508</v>
      </c>
      <c r="D96" s="2">
        <v>1.7000000000000001E-2</v>
      </c>
    </row>
    <row r="97" spans="1:4" ht="16" x14ac:dyDescent="0.2">
      <c r="A97" s="2" t="s">
        <v>298</v>
      </c>
      <c r="B97" s="2" t="s">
        <v>435</v>
      </c>
      <c r="C97" s="2">
        <v>841</v>
      </c>
      <c r="D97" s="2">
        <v>4.0000000000000001E-3</v>
      </c>
    </row>
    <row r="98" spans="1:4" ht="16" x14ac:dyDescent="0.2">
      <c r="A98" s="2" t="s">
        <v>298</v>
      </c>
      <c r="B98" s="2" t="s">
        <v>436</v>
      </c>
      <c r="C98" s="2">
        <v>8242</v>
      </c>
      <c r="D98" s="2">
        <v>3.7999999999999999E-2</v>
      </c>
    </row>
    <row r="99" spans="1:4" ht="16" x14ac:dyDescent="0.2">
      <c r="A99" s="2" t="s">
        <v>298</v>
      </c>
      <c r="B99" s="2" t="s">
        <v>437</v>
      </c>
      <c r="C99" s="2">
        <v>3475</v>
      </c>
      <c r="D99" s="2">
        <v>1.6E-2</v>
      </c>
    </row>
    <row r="100" spans="1:4" ht="16" x14ac:dyDescent="0.2">
      <c r="A100" s="2" t="s">
        <v>298</v>
      </c>
      <c r="B100" s="2" t="s">
        <v>438</v>
      </c>
      <c r="C100" s="2">
        <v>13</v>
      </c>
      <c r="D100" s="2">
        <v>0</v>
      </c>
    </row>
    <row r="101" spans="1:4" ht="16" x14ac:dyDescent="0.2">
      <c r="A101" s="2" t="s">
        <v>298</v>
      </c>
      <c r="B101" s="2" t="s">
        <v>439</v>
      </c>
      <c r="C101" s="2">
        <v>2553</v>
      </c>
      <c r="D101" s="2">
        <v>1.0999999999999999E-2</v>
      </c>
    </row>
    <row r="102" spans="1:4" ht="16" x14ac:dyDescent="0.2">
      <c r="A102" s="2" t="s">
        <v>298</v>
      </c>
      <c r="B102" s="2" t="s">
        <v>440</v>
      </c>
      <c r="C102" s="2">
        <v>0</v>
      </c>
      <c r="D102" s="2">
        <v>0</v>
      </c>
    </row>
    <row r="103" spans="1:4" ht="16" x14ac:dyDescent="0.2">
      <c r="A103" s="2" t="s">
        <v>298</v>
      </c>
      <c r="B103" s="2" t="s">
        <v>441</v>
      </c>
      <c r="C103" s="2">
        <v>0</v>
      </c>
      <c r="D103" s="2">
        <v>0</v>
      </c>
    </row>
    <row r="104" spans="1:4" ht="16" x14ac:dyDescent="0.2">
      <c r="A104" s="2" t="s">
        <v>298</v>
      </c>
      <c r="B104" s="2" t="s">
        <v>442</v>
      </c>
      <c r="C104" s="2">
        <v>0</v>
      </c>
      <c r="D104" s="2">
        <v>0</v>
      </c>
    </row>
    <row r="105" spans="1:4" ht="16" x14ac:dyDescent="0.2">
      <c r="A105" s="2" t="s">
        <v>298</v>
      </c>
      <c r="B105" s="2" t="s">
        <v>443</v>
      </c>
      <c r="C105" s="2">
        <v>0</v>
      </c>
      <c r="D105" s="2">
        <v>0</v>
      </c>
    </row>
    <row r="106" spans="1:4" ht="16" x14ac:dyDescent="0.2">
      <c r="A106" s="2" t="s">
        <v>298</v>
      </c>
      <c r="B106" s="2" t="s">
        <v>444</v>
      </c>
      <c r="C106" s="2">
        <v>0</v>
      </c>
      <c r="D106" s="2">
        <v>0</v>
      </c>
    </row>
    <row r="107" spans="1:4" ht="16" x14ac:dyDescent="0.2">
      <c r="A107" s="2" t="s">
        <v>298</v>
      </c>
      <c r="B107" s="2" t="s">
        <v>445</v>
      </c>
      <c r="C107" s="2">
        <v>0</v>
      </c>
      <c r="D107" s="2">
        <v>0</v>
      </c>
    </row>
    <row r="108" spans="1:4" ht="16" x14ac:dyDescent="0.2">
      <c r="A108" s="2" t="s">
        <v>298</v>
      </c>
      <c r="B108" s="2" t="s">
        <v>446</v>
      </c>
      <c r="C108" s="2">
        <v>0</v>
      </c>
      <c r="D108" s="2">
        <v>0</v>
      </c>
    </row>
    <row r="109" spans="1:4" ht="16" x14ac:dyDescent="0.2">
      <c r="A109" s="2" t="s">
        <v>298</v>
      </c>
      <c r="B109" s="2" t="s">
        <v>447</v>
      </c>
      <c r="C109" s="2">
        <v>0</v>
      </c>
      <c r="D109" s="2">
        <v>0</v>
      </c>
    </row>
    <row r="110" spans="1:4" ht="16" x14ac:dyDescent="0.2">
      <c r="A110" s="2" t="s">
        <v>298</v>
      </c>
      <c r="B110" s="2" t="s">
        <v>448</v>
      </c>
      <c r="C110" s="2">
        <v>0</v>
      </c>
      <c r="D110" s="2">
        <v>0</v>
      </c>
    </row>
    <row r="111" spans="1:4" ht="16" x14ac:dyDescent="0.2">
      <c r="A111" s="2" t="s">
        <v>298</v>
      </c>
      <c r="B111" s="2" t="s">
        <v>449</v>
      </c>
      <c r="C111" s="2">
        <v>0</v>
      </c>
      <c r="D111" s="2">
        <v>0</v>
      </c>
    </row>
    <row r="112" spans="1:4" ht="16" x14ac:dyDescent="0.2">
      <c r="A112" s="2" t="s">
        <v>307</v>
      </c>
      <c r="B112" s="2" t="s">
        <v>456</v>
      </c>
      <c r="C112" s="2">
        <v>72000</v>
      </c>
      <c r="D112" s="2">
        <v>4</v>
      </c>
    </row>
    <row r="113" spans="1:4" ht="16" x14ac:dyDescent="0.2">
      <c r="A113" s="2" t="s">
        <v>307</v>
      </c>
      <c r="B113" s="2" t="s">
        <v>457</v>
      </c>
      <c r="C113" s="2">
        <v>15000</v>
      </c>
      <c r="D113" s="2">
        <v>0.16700000000000001</v>
      </c>
    </row>
    <row r="114" spans="1:4" ht="16" x14ac:dyDescent="0.2">
      <c r="A114" s="2" t="s">
        <v>307</v>
      </c>
      <c r="B114" s="2" t="s">
        <v>458</v>
      </c>
      <c r="C114" s="2">
        <v>6000</v>
      </c>
      <c r="D114" s="2">
        <v>5.7000000000000002E-2</v>
      </c>
    </row>
    <row r="115" spans="1:4" ht="16" x14ac:dyDescent="0.2">
      <c r="A115" s="2" t="s">
        <v>307</v>
      </c>
      <c r="B115" s="2" t="s">
        <v>459</v>
      </c>
      <c r="C115" s="2">
        <v>6000</v>
      </c>
      <c r="D115" s="2">
        <v>5.3999999999999999E-2</v>
      </c>
    </row>
    <row r="116" spans="1:4" ht="16" x14ac:dyDescent="0.2">
      <c r="A116" s="2" t="s">
        <v>307</v>
      </c>
      <c r="B116" s="2" t="s">
        <v>460</v>
      </c>
      <c r="C116" s="2">
        <v>13000</v>
      </c>
      <c r="D116" s="2">
        <v>0.111</v>
      </c>
    </row>
    <row r="117" spans="1:4" ht="16" x14ac:dyDescent="0.2">
      <c r="A117" s="2" t="s">
        <v>307</v>
      </c>
      <c r="B117" s="2" t="s">
        <v>461</v>
      </c>
      <c r="C117" s="2">
        <v>8000</v>
      </c>
      <c r="D117" s="2">
        <v>6.2E-2</v>
      </c>
    </row>
    <row r="118" spans="1:4" ht="16" x14ac:dyDescent="0.2">
      <c r="A118" s="2" t="s">
        <v>307</v>
      </c>
      <c r="B118" s="2" t="s">
        <v>462</v>
      </c>
      <c r="C118" s="2">
        <v>3000</v>
      </c>
      <c r="D118" s="2">
        <v>2.1999999999999999E-2</v>
      </c>
    </row>
    <row r="119" spans="1:4" ht="16" x14ac:dyDescent="0.2">
      <c r="A119" s="2" t="s">
        <v>307</v>
      </c>
      <c r="B119" s="2" t="s">
        <v>463</v>
      </c>
      <c r="C119" s="2">
        <v>5000</v>
      </c>
      <c r="D119" s="2">
        <v>3.5000000000000003E-2</v>
      </c>
    </row>
    <row r="120" spans="1:4" ht="16" x14ac:dyDescent="0.2">
      <c r="A120" s="2" t="s">
        <v>307</v>
      </c>
      <c r="B120" s="2" t="s">
        <v>464</v>
      </c>
      <c r="C120" s="2">
        <v>3000</v>
      </c>
      <c r="D120" s="2">
        <v>2.1000000000000001E-2</v>
      </c>
    </row>
    <row r="121" spans="1:4" ht="16" x14ac:dyDescent="0.2">
      <c r="A121" s="2" t="s">
        <v>307</v>
      </c>
      <c r="B121" s="2" t="s">
        <v>465</v>
      </c>
      <c r="C121" s="2">
        <v>1000</v>
      </c>
      <c r="D121" s="2">
        <v>7.0000000000000001E-3</v>
      </c>
    </row>
    <row r="122" spans="1:4" ht="16" x14ac:dyDescent="0.2">
      <c r="A122" s="2" t="s">
        <v>307</v>
      </c>
      <c r="B122" s="2" t="s">
        <v>466</v>
      </c>
      <c r="C122" s="2">
        <v>1272</v>
      </c>
      <c r="D122" s="2">
        <v>8.0000000000000002E-3</v>
      </c>
    </row>
    <row r="123" spans="1:4" ht="16" x14ac:dyDescent="0.2">
      <c r="A123" s="2" t="s">
        <v>307</v>
      </c>
      <c r="B123" s="2" t="s">
        <v>467</v>
      </c>
      <c r="C123" s="2">
        <v>978</v>
      </c>
      <c r="D123" s="2">
        <v>6.0000000000000001E-3</v>
      </c>
    </row>
    <row r="124" spans="1:4" ht="16" x14ac:dyDescent="0.2">
      <c r="A124" s="2" t="s">
        <v>307</v>
      </c>
      <c r="B124" s="2" t="s">
        <v>468</v>
      </c>
      <c r="C124" s="2">
        <v>1086</v>
      </c>
      <c r="D124" s="2">
        <v>7.0000000000000001E-3</v>
      </c>
    </row>
    <row r="125" spans="1:4" ht="16" x14ac:dyDescent="0.2">
      <c r="A125" s="2" t="s">
        <v>307</v>
      </c>
      <c r="B125" s="2" t="s">
        <v>469</v>
      </c>
      <c r="C125" s="2">
        <v>0</v>
      </c>
      <c r="D125" s="2">
        <v>0</v>
      </c>
    </row>
    <row r="126" spans="1:4" ht="16" x14ac:dyDescent="0.2">
      <c r="A126" s="2" t="s">
        <v>307</v>
      </c>
      <c r="B126" s="2" t="s">
        <v>470</v>
      </c>
      <c r="C126" s="2">
        <v>0</v>
      </c>
      <c r="D126" s="2">
        <v>0</v>
      </c>
    </row>
    <row r="127" spans="1:4" ht="16" x14ac:dyDescent="0.2">
      <c r="A127" s="2" t="s">
        <v>307</v>
      </c>
      <c r="B127" s="2" t="s">
        <v>471</v>
      </c>
      <c r="C127" s="2">
        <v>0</v>
      </c>
      <c r="D127" s="2">
        <v>0</v>
      </c>
    </row>
    <row r="128" spans="1:4" ht="16" x14ac:dyDescent="0.2">
      <c r="A128" s="2" t="s">
        <v>307</v>
      </c>
      <c r="B128" s="2" t="s">
        <v>472</v>
      </c>
      <c r="C128" s="2">
        <v>0</v>
      </c>
      <c r="D128" s="2">
        <v>0</v>
      </c>
    </row>
    <row r="129" spans="1:4" ht="16" x14ac:dyDescent="0.2">
      <c r="A129" s="2" t="s">
        <v>316</v>
      </c>
      <c r="B129" s="2" t="s">
        <v>481</v>
      </c>
      <c r="C129" s="2">
        <v>90900</v>
      </c>
      <c r="D129" s="2">
        <v>0.73199999999999998</v>
      </c>
    </row>
    <row r="130" spans="1:4" ht="16" x14ac:dyDescent="0.2">
      <c r="A130" s="2" t="s">
        <v>316</v>
      </c>
      <c r="B130" s="2" t="s">
        <v>482</v>
      </c>
      <c r="C130" s="2">
        <v>87388</v>
      </c>
      <c r="D130" s="2">
        <v>0.40600000000000003</v>
      </c>
    </row>
    <row r="131" spans="1:4" ht="16" x14ac:dyDescent="0.2">
      <c r="A131" s="2" t="s">
        <v>316</v>
      </c>
      <c r="B131" s="2" t="s">
        <v>483</v>
      </c>
      <c r="C131" s="2">
        <v>22740</v>
      </c>
      <c r="D131" s="2">
        <v>7.4999999999999997E-2</v>
      </c>
    </row>
    <row r="132" spans="1:4" ht="16" x14ac:dyDescent="0.2">
      <c r="A132" s="2" t="s">
        <v>316</v>
      </c>
      <c r="B132" s="2" t="s">
        <v>484</v>
      </c>
      <c r="C132" s="2">
        <v>22502</v>
      </c>
      <c r="D132" s="2">
        <v>6.9000000000000006E-2</v>
      </c>
    </row>
    <row r="133" spans="1:4" ht="16" x14ac:dyDescent="0.2">
      <c r="A133" s="2" t="s">
        <v>316</v>
      </c>
      <c r="B133" s="2" t="s">
        <v>485</v>
      </c>
      <c r="C133" s="2">
        <v>4187</v>
      </c>
      <c r="D133" s="2">
        <v>1.2E-2</v>
      </c>
    </row>
    <row r="134" spans="1:4" ht="16" x14ac:dyDescent="0.2">
      <c r="A134" s="2" t="s">
        <v>316</v>
      </c>
      <c r="B134" s="2" t="s">
        <v>486</v>
      </c>
      <c r="C134" s="2">
        <v>4509</v>
      </c>
      <c r="D134" s="2">
        <v>1.2999999999999999E-2</v>
      </c>
    </row>
    <row r="135" spans="1:4" ht="16" x14ac:dyDescent="0.2">
      <c r="A135" s="2" t="s">
        <v>316</v>
      </c>
      <c r="B135" s="2" t="s">
        <v>487</v>
      </c>
      <c r="C135" s="2">
        <v>4542</v>
      </c>
      <c r="D135" s="2">
        <v>1.2999999999999999E-2</v>
      </c>
    </row>
    <row r="136" spans="1:4" ht="16" x14ac:dyDescent="0.2">
      <c r="A136" s="2" t="s">
        <v>316</v>
      </c>
      <c r="B136" s="2" t="s">
        <v>488</v>
      </c>
      <c r="C136" s="2">
        <v>9067</v>
      </c>
      <c r="D136" s="2">
        <v>2.5000000000000001E-2</v>
      </c>
    </row>
    <row r="137" spans="1:4" ht="16" x14ac:dyDescent="0.2">
      <c r="A137" s="2" t="s">
        <v>316</v>
      </c>
      <c r="B137" s="2" t="s">
        <v>489</v>
      </c>
      <c r="C137" s="2">
        <v>2409</v>
      </c>
      <c r="D137" s="2">
        <v>7.0000000000000001E-3</v>
      </c>
    </row>
    <row r="138" spans="1:4" ht="16" x14ac:dyDescent="0.2">
      <c r="A138" s="2" t="s">
        <v>316</v>
      </c>
      <c r="B138" s="2" t="s">
        <v>490</v>
      </c>
      <c r="C138" s="2">
        <v>1576</v>
      </c>
      <c r="D138" s="2">
        <v>4.0000000000000001E-3</v>
      </c>
    </row>
    <row r="139" spans="1:4" ht="16" x14ac:dyDescent="0.2">
      <c r="A139" s="2" t="s">
        <v>316</v>
      </c>
      <c r="B139" s="2" t="s">
        <v>491</v>
      </c>
      <c r="C139" s="2">
        <v>1289</v>
      </c>
      <c r="D139" s="2">
        <v>3.0000000000000001E-3</v>
      </c>
    </row>
    <row r="140" spans="1:4" ht="16" x14ac:dyDescent="0.2">
      <c r="A140" s="2" t="s">
        <v>316</v>
      </c>
      <c r="B140" s="2" t="s">
        <v>492</v>
      </c>
      <c r="C140" s="2">
        <v>0</v>
      </c>
      <c r="D140" s="2">
        <v>0</v>
      </c>
    </row>
    <row r="141" spans="1:4" ht="16" x14ac:dyDescent="0.2">
      <c r="A141" s="2" t="s">
        <v>316</v>
      </c>
      <c r="B141" s="2" t="s">
        <v>493</v>
      </c>
      <c r="C141" s="2">
        <v>0</v>
      </c>
      <c r="D141" s="2">
        <v>0</v>
      </c>
    </row>
    <row r="142" spans="1:4" ht="16" x14ac:dyDescent="0.2">
      <c r="A142" s="2" t="s">
        <v>316</v>
      </c>
      <c r="B142" s="2" t="s">
        <v>494</v>
      </c>
      <c r="C142" s="2">
        <v>0</v>
      </c>
      <c r="D142" s="2">
        <v>0</v>
      </c>
    </row>
    <row r="143" spans="1:4" ht="16" x14ac:dyDescent="0.2">
      <c r="A143" s="2" t="s">
        <v>316</v>
      </c>
      <c r="B143" s="2" t="s">
        <v>495</v>
      </c>
      <c r="C143" s="2">
        <v>0</v>
      </c>
      <c r="D143" s="2">
        <v>0</v>
      </c>
    </row>
    <row r="144" spans="1:4" ht="16" x14ac:dyDescent="0.2">
      <c r="A144" s="2" t="s">
        <v>316</v>
      </c>
      <c r="B144" s="2" t="s">
        <v>496</v>
      </c>
      <c r="C144" s="2">
        <v>0</v>
      </c>
      <c r="D144" s="2">
        <v>0</v>
      </c>
    </row>
    <row r="145" spans="1:4" ht="16" x14ac:dyDescent="0.2">
      <c r="A145" s="2" t="s">
        <v>316</v>
      </c>
      <c r="B145" s="2" t="s">
        <v>497</v>
      </c>
      <c r="C145" s="2">
        <v>0</v>
      </c>
      <c r="D145" s="2">
        <v>0</v>
      </c>
    </row>
    <row r="146" spans="1:4" ht="16" x14ac:dyDescent="0.2">
      <c r="A146" s="2" t="s">
        <v>316</v>
      </c>
      <c r="B146" s="2" t="s">
        <v>498</v>
      </c>
      <c r="C146" s="2">
        <v>0</v>
      </c>
      <c r="D146" s="2">
        <v>0</v>
      </c>
    </row>
    <row r="147" spans="1:4" ht="16" x14ac:dyDescent="0.2">
      <c r="A147" s="2" t="s">
        <v>316</v>
      </c>
      <c r="B147" s="2" t="s">
        <v>499</v>
      </c>
      <c r="C147" s="2">
        <v>0</v>
      </c>
      <c r="D147" s="2">
        <v>0</v>
      </c>
    </row>
    <row r="148" spans="1:4" ht="16" x14ac:dyDescent="0.2">
      <c r="A148" s="2" t="s">
        <v>316</v>
      </c>
      <c r="B148" s="2" t="s">
        <v>500</v>
      </c>
      <c r="C148" s="2">
        <v>0</v>
      </c>
      <c r="D148" s="2">
        <v>0</v>
      </c>
    </row>
    <row r="149" spans="1:4" ht="16" x14ac:dyDescent="0.2">
      <c r="A149" s="2" t="s">
        <v>316</v>
      </c>
      <c r="B149" s="2" t="s">
        <v>501</v>
      </c>
      <c r="C149" s="2">
        <v>-11989</v>
      </c>
      <c r="D149" s="2">
        <v>-3.2000000000000001E-2</v>
      </c>
    </row>
    <row r="150" spans="1:4" ht="16" x14ac:dyDescent="0.2">
      <c r="A150" s="2" t="s">
        <v>316</v>
      </c>
      <c r="B150" s="2" t="s">
        <v>502</v>
      </c>
      <c r="C150" s="2">
        <v>0</v>
      </c>
      <c r="D150" s="2">
        <v>0</v>
      </c>
    </row>
    <row r="151" spans="1:4" ht="16" x14ac:dyDescent="0.2">
      <c r="A151" s="2" t="s">
        <v>316</v>
      </c>
      <c r="B151" s="2" t="s">
        <v>503</v>
      </c>
      <c r="C151" s="2">
        <v>0</v>
      </c>
      <c r="D151" s="2">
        <v>0</v>
      </c>
    </row>
    <row r="152" spans="1:4" ht="16" x14ac:dyDescent="0.2">
      <c r="A152" s="2" t="s">
        <v>316</v>
      </c>
      <c r="B152" s="2" t="s">
        <v>504</v>
      </c>
      <c r="C152" s="2">
        <v>0</v>
      </c>
      <c r="D152" s="2">
        <v>0</v>
      </c>
    </row>
    <row r="153" spans="1:4" ht="16" x14ac:dyDescent="0.2">
      <c r="A153" s="2" t="s">
        <v>316</v>
      </c>
      <c r="B153" s="2" t="s">
        <v>505</v>
      </c>
      <c r="C153" s="2">
        <v>0</v>
      </c>
      <c r="D153" s="2">
        <v>0</v>
      </c>
    </row>
    <row r="154" spans="1:4" ht="16" x14ac:dyDescent="0.2">
      <c r="A154" s="2" t="s">
        <v>316</v>
      </c>
      <c r="B154" s="2" t="s">
        <v>506</v>
      </c>
      <c r="C154" s="2">
        <v>0</v>
      </c>
      <c r="D154" s="2">
        <v>0</v>
      </c>
    </row>
    <row r="155" spans="1:4" ht="16" x14ac:dyDescent="0.2">
      <c r="A155" s="2" t="s">
        <v>316</v>
      </c>
      <c r="B155" s="2" t="s">
        <v>507</v>
      </c>
      <c r="C155" s="2">
        <v>0</v>
      </c>
      <c r="D155" s="2">
        <v>0</v>
      </c>
    </row>
    <row r="156" spans="1:4" ht="16" x14ac:dyDescent="0.2">
      <c r="A156" s="2" t="s">
        <v>316</v>
      </c>
      <c r="B156" s="2" t="s">
        <v>508</v>
      </c>
      <c r="C156" s="2">
        <v>0</v>
      </c>
      <c r="D156" s="2">
        <v>0</v>
      </c>
    </row>
    <row r="157" spans="1:4" ht="16" x14ac:dyDescent="0.2">
      <c r="A157" s="2" t="s">
        <v>316</v>
      </c>
      <c r="B157" s="2" t="s">
        <v>515</v>
      </c>
      <c r="C157" s="2">
        <v>0</v>
      </c>
      <c r="D157" s="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5" width="10" customWidth="1"/>
    <col min="6" max="6" width="12" customWidth="1"/>
    <col min="7" max="7" width="18" customWidth="1"/>
    <col min="8" max="8" width="12" customWidth="1"/>
  </cols>
  <sheetData>
    <row r="1" spans="1:8" ht="16" x14ac:dyDescent="0.2">
      <c r="A1" s="1" t="s">
        <v>272</v>
      </c>
      <c r="B1" s="1" t="s">
        <v>540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545</v>
      </c>
      <c r="H1" s="1" t="s">
        <v>546</v>
      </c>
    </row>
    <row r="2" spans="1:8" ht="16" x14ac:dyDescent="0.2">
      <c r="A2" s="2" t="s">
        <v>276</v>
      </c>
      <c r="B2" s="2" t="s">
        <v>333</v>
      </c>
      <c r="C2" s="2">
        <v>207</v>
      </c>
      <c r="D2" s="2">
        <v>7</v>
      </c>
      <c r="E2" s="2">
        <v>1</v>
      </c>
      <c r="F2" s="2">
        <v>2</v>
      </c>
      <c r="G2" s="2">
        <v>325000</v>
      </c>
      <c r="H2" s="2">
        <v>0</v>
      </c>
    </row>
    <row r="3" spans="1:8" ht="16" x14ac:dyDescent="0.2">
      <c r="A3" s="2" t="s">
        <v>276</v>
      </c>
      <c r="B3" s="2" t="s">
        <v>334</v>
      </c>
      <c r="C3" s="2">
        <v>294</v>
      </c>
      <c r="D3" s="2">
        <v>11</v>
      </c>
      <c r="E3" s="2">
        <v>2</v>
      </c>
      <c r="F3" s="2">
        <v>5</v>
      </c>
      <c r="G3" s="2">
        <v>900000</v>
      </c>
      <c r="H3" s="2">
        <v>0</v>
      </c>
    </row>
    <row r="4" spans="1:8" ht="16" x14ac:dyDescent="0.2">
      <c r="A4" s="2" t="s">
        <v>276</v>
      </c>
      <c r="B4" s="2" t="s">
        <v>335</v>
      </c>
      <c r="C4" s="2">
        <v>300</v>
      </c>
      <c r="D4" s="2">
        <v>11</v>
      </c>
      <c r="E4" s="2">
        <v>2</v>
      </c>
      <c r="F4" s="2">
        <v>5</v>
      </c>
      <c r="G4" s="2">
        <v>1500000</v>
      </c>
      <c r="H4" s="2">
        <v>20</v>
      </c>
    </row>
    <row r="5" spans="1:8" ht="16" x14ac:dyDescent="0.2">
      <c r="A5" s="2" t="s">
        <v>276</v>
      </c>
      <c r="B5" s="2" t="s">
        <v>336</v>
      </c>
      <c r="C5" s="2">
        <v>388</v>
      </c>
      <c r="D5" s="2">
        <v>13</v>
      </c>
      <c r="E5" s="2">
        <v>3</v>
      </c>
      <c r="F5" s="2">
        <v>8</v>
      </c>
      <c r="G5" s="2">
        <v>2000000</v>
      </c>
      <c r="H5" s="2">
        <v>26</v>
      </c>
    </row>
    <row r="6" spans="1:8" ht="16" x14ac:dyDescent="0.2">
      <c r="A6" s="2" t="s">
        <v>276</v>
      </c>
      <c r="B6" s="2" t="s">
        <v>337</v>
      </c>
      <c r="C6" s="2">
        <v>599</v>
      </c>
      <c r="D6" s="2">
        <v>20</v>
      </c>
      <c r="E6" s="2">
        <v>8</v>
      </c>
      <c r="F6" s="2">
        <v>8</v>
      </c>
      <c r="G6" s="2">
        <v>2500000</v>
      </c>
      <c r="H6" s="2">
        <v>29</v>
      </c>
    </row>
    <row r="7" spans="1:8" ht="16" x14ac:dyDescent="0.2">
      <c r="A7" s="2" t="s">
        <v>276</v>
      </c>
      <c r="B7" s="2" t="s">
        <v>338</v>
      </c>
      <c r="C7" s="2">
        <v>768</v>
      </c>
      <c r="D7" s="2">
        <v>25</v>
      </c>
      <c r="E7" s="2">
        <v>17</v>
      </c>
      <c r="F7" s="2">
        <v>10</v>
      </c>
      <c r="G7" s="2">
        <v>3400000</v>
      </c>
      <c r="H7" s="2">
        <v>32</v>
      </c>
    </row>
    <row r="8" spans="1:8" ht="16" x14ac:dyDescent="0.2">
      <c r="A8" s="2" t="s">
        <v>276</v>
      </c>
      <c r="B8" s="2" t="s">
        <v>339</v>
      </c>
      <c r="C8" s="2">
        <v>853</v>
      </c>
      <c r="D8" s="2">
        <v>27</v>
      </c>
      <c r="E8" s="2">
        <v>21</v>
      </c>
      <c r="F8" s="2">
        <v>10</v>
      </c>
      <c r="G8" s="2">
        <v>4500000</v>
      </c>
      <c r="H8" s="2">
        <v>32</v>
      </c>
    </row>
    <row r="9" spans="1:8" ht="16" x14ac:dyDescent="0.2">
      <c r="A9" s="2" t="s">
        <v>276</v>
      </c>
      <c r="B9" s="2" t="s">
        <v>340</v>
      </c>
      <c r="C9" s="2">
        <v>903</v>
      </c>
      <c r="D9" s="2">
        <v>27</v>
      </c>
      <c r="E9" s="2">
        <v>22</v>
      </c>
      <c r="F9" s="2">
        <v>10</v>
      </c>
      <c r="G9" s="2">
        <v>5700000</v>
      </c>
      <c r="H9" s="2">
        <v>33</v>
      </c>
    </row>
    <row r="10" spans="1:8" ht="16" x14ac:dyDescent="0.2">
      <c r="A10" s="2" t="s">
        <v>276</v>
      </c>
      <c r="B10" s="2" t="s">
        <v>341</v>
      </c>
      <c r="C10" s="2">
        <v>983</v>
      </c>
      <c r="D10" s="2">
        <v>27</v>
      </c>
      <c r="E10" s="2">
        <v>36</v>
      </c>
      <c r="F10" s="2">
        <v>10</v>
      </c>
      <c r="G10" s="2">
        <v>7000000</v>
      </c>
      <c r="H10" s="2">
        <v>35</v>
      </c>
    </row>
    <row r="11" spans="1:8" ht="16" x14ac:dyDescent="0.2">
      <c r="A11" s="2" t="s">
        <v>276</v>
      </c>
      <c r="B11" s="2" t="s">
        <v>342</v>
      </c>
      <c r="C11" s="2">
        <v>992</v>
      </c>
      <c r="D11" s="2">
        <v>27</v>
      </c>
      <c r="E11" s="2">
        <v>39</v>
      </c>
      <c r="F11" s="2">
        <v>10</v>
      </c>
      <c r="G11" s="2">
        <v>7300000</v>
      </c>
      <c r="H11" s="2">
        <v>27</v>
      </c>
    </row>
    <row r="12" spans="1:8" ht="16" x14ac:dyDescent="0.2">
      <c r="A12" s="2" t="s">
        <v>276</v>
      </c>
      <c r="B12" s="2" t="s">
        <v>343</v>
      </c>
      <c r="C12" s="2">
        <v>1121</v>
      </c>
      <c r="D12" s="2">
        <v>27</v>
      </c>
      <c r="E12" s="2">
        <v>49</v>
      </c>
      <c r="F12" s="2">
        <v>10</v>
      </c>
      <c r="G12" s="2">
        <v>9600000</v>
      </c>
      <c r="H12" s="2">
        <v>27</v>
      </c>
    </row>
    <row r="13" spans="1:8" ht="16" x14ac:dyDescent="0.2">
      <c r="A13" s="2" t="s">
        <v>276</v>
      </c>
      <c r="B13" s="2" t="s">
        <v>344</v>
      </c>
      <c r="C13" s="2">
        <v>1188</v>
      </c>
      <c r="D13" s="2">
        <v>29</v>
      </c>
      <c r="E13" s="2">
        <v>48</v>
      </c>
      <c r="F13" s="2">
        <v>10</v>
      </c>
      <c r="G13" s="2">
        <v>11400000</v>
      </c>
      <c r="H13" s="2">
        <v>27</v>
      </c>
    </row>
    <row r="14" spans="1:8" ht="16" x14ac:dyDescent="0.2">
      <c r="A14" s="2" t="s">
        <v>276</v>
      </c>
      <c r="B14" s="2" t="s">
        <v>345</v>
      </c>
      <c r="C14" s="2">
        <v>1282</v>
      </c>
      <c r="D14" s="2">
        <v>32</v>
      </c>
      <c r="E14" s="2">
        <v>48</v>
      </c>
      <c r="F14" s="2">
        <v>10</v>
      </c>
      <c r="G14" s="2">
        <v>13100000</v>
      </c>
      <c r="H14" s="2">
        <v>30</v>
      </c>
    </row>
    <row r="15" spans="1:8" ht="16" x14ac:dyDescent="0.2">
      <c r="A15" s="2" t="s">
        <v>276</v>
      </c>
      <c r="B15" s="2" t="s">
        <v>346</v>
      </c>
      <c r="C15" s="2">
        <v>1423</v>
      </c>
      <c r="D15" s="2">
        <v>39</v>
      </c>
      <c r="E15" s="2">
        <v>51</v>
      </c>
      <c r="F15" s="2">
        <v>10</v>
      </c>
      <c r="G15" s="2">
        <v>14400000</v>
      </c>
      <c r="H15" s="2">
        <v>28</v>
      </c>
    </row>
    <row r="16" spans="1:8" ht="16" x14ac:dyDescent="0.2">
      <c r="A16" s="2" t="s">
        <v>276</v>
      </c>
      <c r="B16" s="2" t="s">
        <v>347</v>
      </c>
      <c r="C16" s="2">
        <v>1497</v>
      </c>
      <c r="D16" s="2">
        <v>44</v>
      </c>
      <c r="E16" s="2">
        <v>48</v>
      </c>
      <c r="F16" s="2">
        <v>10</v>
      </c>
      <c r="G16" s="2">
        <v>16700000</v>
      </c>
      <c r="H16" s="2">
        <v>36</v>
      </c>
    </row>
    <row r="17" spans="1:8" ht="16" x14ac:dyDescent="0.2">
      <c r="A17" s="2" t="s">
        <v>276</v>
      </c>
      <c r="B17" s="2" t="s">
        <v>348</v>
      </c>
      <c r="C17" s="2">
        <v>1482</v>
      </c>
      <c r="D17" s="2">
        <v>42</v>
      </c>
      <c r="E17" s="2">
        <v>51</v>
      </c>
      <c r="F17" s="2">
        <v>9</v>
      </c>
      <c r="G17" s="2">
        <v>18900000</v>
      </c>
      <c r="H17" s="2">
        <v>29</v>
      </c>
    </row>
    <row r="18" spans="1:8" ht="16" x14ac:dyDescent="0.2">
      <c r="A18" s="2" t="s">
        <v>276</v>
      </c>
      <c r="B18" s="2" t="s">
        <v>349</v>
      </c>
      <c r="C18" s="2">
        <v>1489</v>
      </c>
      <c r="D18" s="2">
        <v>43</v>
      </c>
      <c r="E18" s="2">
        <v>52</v>
      </c>
      <c r="F18" s="2">
        <v>10</v>
      </c>
      <c r="G18" s="2">
        <v>21100000</v>
      </c>
      <c r="H18" s="2">
        <v>27</v>
      </c>
    </row>
    <row r="19" spans="1:8" ht="16" x14ac:dyDescent="0.2">
      <c r="A19" s="2" t="s">
        <v>276</v>
      </c>
      <c r="B19" s="2" t="s">
        <v>350</v>
      </c>
      <c r="C19" s="2">
        <v>1506</v>
      </c>
      <c r="D19" s="2">
        <v>44</v>
      </c>
      <c r="E19" s="2">
        <v>52</v>
      </c>
      <c r="F19" s="2">
        <v>10</v>
      </c>
      <c r="G19" s="2">
        <v>23800000</v>
      </c>
      <c r="H19" s="2">
        <v>20</v>
      </c>
    </row>
    <row r="20" spans="1:8" ht="16" x14ac:dyDescent="0.2">
      <c r="A20" s="2" t="s">
        <v>276</v>
      </c>
      <c r="B20" s="2" t="s">
        <v>351</v>
      </c>
      <c r="C20" s="2">
        <v>1636</v>
      </c>
      <c r="D20" s="2">
        <v>48</v>
      </c>
      <c r="E20" s="2">
        <v>54</v>
      </c>
      <c r="F20" s="2">
        <v>10</v>
      </c>
      <c r="G20" s="2">
        <v>25300000</v>
      </c>
      <c r="H20" s="2">
        <v>26</v>
      </c>
    </row>
    <row r="21" spans="1:8" ht="16" x14ac:dyDescent="0.2">
      <c r="A21" s="2" t="s">
        <v>276</v>
      </c>
      <c r="B21" s="2" t="s">
        <v>352</v>
      </c>
      <c r="C21" s="2">
        <v>1525</v>
      </c>
      <c r="D21" s="2">
        <v>43</v>
      </c>
      <c r="E21" s="2">
        <v>53</v>
      </c>
      <c r="F21" s="2">
        <v>10</v>
      </c>
      <c r="G21" s="2">
        <v>27000000</v>
      </c>
      <c r="H21" s="2">
        <v>25</v>
      </c>
    </row>
    <row r="22" spans="1:8" ht="16" x14ac:dyDescent="0.2">
      <c r="A22" s="2" t="s">
        <v>276</v>
      </c>
      <c r="B22" s="2" t="s">
        <v>353</v>
      </c>
      <c r="C22" s="2">
        <v>1603</v>
      </c>
      <c r="D22" s="2">
        <v>43</v>
      </c>
      <c r="E22" s="2">
        <v>63</v>
      </c>
      <c r="F22" s="2">
        <v>11</v>
      </c>
      <c r="G22" s="2">
        <v>29300000</v>
      </c>
      <c r="H22" s="2">
        <v>28</v>
      </c>
    </row>
    <row r="23" spans="1:8" ht="16" x14ac:dyDescent="0.2">
      <c r="A23" s="2" t="s">
        <v>276</v>
      </c>
      <c r="B23" s="2" t="s">
        <v>354</v>
      </c>
      <c r="C23" s="2">
        <v>1580</v>
      </c>
      <c r="D23" s="2">
        <v>39</v>
      </c>
      <c r="E23" s="2">
        <v>61</v>
      </c>
      <c r="F23" s="2">
        <v>10</v>
      </c>
      <c r="G23" s="2">
        <v>31300000</v>
      </c>
      <c r="H23" s="2">
        <v>37</v>
      </c>
    </row>
    <row r="24" spans="1:8" ht="16" x14ac:dyDescent="0.2">
      <c r="A24" s="2" t="s">
        <v>276</v>
      </c>
      <c r="B24" s="2" t="s">
        <v>355</v>
      </c>
      <c r="C24" s="2">
        <v>1500</v>
      </c>
      <c r="D24" s="2">
        <v>38</v>
      </c>
      <c r="E24" s="2">
        <v>44</v>
      </c>
      <c r="F24" s="2">
        <v>10</v>
      </c>
      <c r="G24" s="2">
        <v>33300000</v>
      </c>
      <c r="H24" s="2">
        <v>37</v>
      </c>
    </row>
    <row r="25" spans="1:8" ht="16" x14ac:dyDescent="0.2">
      <c r="A25" s="2" t="s">
        <v>276</v>
      </c>
      <c r="B25" s="2" t="s">
        <v>356</v>
      </c>
      <c r="C25" s="2">
        <v>1459</v>
      </c>
      <c r="D25" s="2">
        <v>37</v>
      </c>
      <c r="E25" s="2">
        <v>48</v>
      </c>
      <c r="F25" s="2">
        <v>11</v>
      </c>
      <c r="G25" s="2">
        <v>34700000</v>
      </c>
      <c r="H25" s="2">
        <v>37</v>
      </c>
    </row>
    <row r="26" spans="1:8" ht="16" x14ac:dyDescent="0.2">
      <c r="A26" s="2" t="s">
        <v>276</v>
      </c>
      <c r="B26" s="2" t="s">
        <v>357</v>
      </c>
      <c r="C26" s="2">
        <v>1792</v>
      </c>
      <c r="D26" s="2">
        <v>46</v>
      </c>
      <c r="E26" s="2">
        <v>55</v>
      </c>
      <c r="F26" s="2">
        <v>11</v>
      </c>
      <c r="G26" s="2">
        <v>37000000</v>
      </c>
      <c r="H26" s="2">
        <v>40</v>
      </c>
    </row>
    <row r="27" spans="1:8" ht="16" x14ac:dyDescent="0.2">
      <c r="A27" s="2" t="s">
        <v>276</v>
      </c>
      <c r="B27" s="2" t="s">
        <v>358</v>
      </c>
      <c r="C27" s="2">
        <v>1829</v>
      </c>
      <c r="D27" s="2">
        <v>48</v>
      </c>
      <c r="E27" s="2">
        <v>58</v>
      </c>
      <c r="F27" s="2">
        <v>9</v>
      </c>
      <c r="G27" s="2">
        <v>39200000</v>
      </c>
      <c r="H27" s="2">
        <v>40</v>
      </c>
    </row>
    <row r="28" spans="1:8" ht="16" x14ac:dyDescent="0.2">
      <c r="A28" s="2" t="s">
        <v>276</v>
      </c>
      <c r="B28" s="2" t="s">
        <v>359</v>
      </c>
      <c r="C28" s="2">
        <v>1799</v>
      </c>
      <c r="D28" s="2">
        <v>47</v>
      </c>
      <c r="E28" s="2">
        <v>55</v>
      </c>
      <c r="F28" s="2">
        <v>12</v>
      </c>
      <c r="G28" s="2">
        <v>41400000</v>
      </c>
      <c r="H28" s="2">
        <v>40</v>
      </c>
    </row>
    <row r="29" spans="1:8" ht="16" x14ac:dyDescent="0.2">
      <c r="A29" s="2" t="s">
        <v>276</v>
      </c>
      <c r="B29" s="2" t="s">
        <v>360</v>
      </c>
      <c r="C29" s="2">
        <v>1790</v>
      </c>
      <c r="D29" s="2">
        <v>44</v>
      </c>
      <c r="E29" s="2">
        <v>72</v>
      </c>
      <c r="F29" s="2">
        <v>11</v>
      </c>
      <c r="G29" s="2">
        <v>43600000</v>
      </c>
      <c r="H29" s="2">
        <v>50</v>
      </c>
    </row>
    <row r="30" spans="1:8" ht="16" x14ac:dyDescent="0.2">
      <c r="A30" s="2" t="s">
        <v>276</v>
      </c>
      <c r="B30" s="2" t="s">
        <v>361</v>
      </c>
      <c r="C30" s="2">
        <v>1843</v>
      </c>
      <c r="D30" s="2">
        <v>46</v>
      </c>
      <c r="E30" s="2">
        <v>79</v>
      </c>
      <c r="F30" s="2">
        <v>14</v>
      </c>
      <c r="G30" s="2">
        <v>46500000</v>
      </c>
      <c r="H30" s="2">
        <v>50</v>
      </c>
    </row>
    <row r="31" spans="1:8" ht="16" x14ac:dyDescent="0.2">
      <c r="A31" s="2" t="s">
        <v>276</v>
      </c>
      <c r="B31" s="2" t="s">
        <v>362</v>
      </c>
      <c r="C31" s="2">
        <v>1584</v>
      </c>
      <c r="D31" s="2">
        <v>48</v>
      </c>
      <c r="E31" s="2">
        <v>77</v>
      </c>
      <c r="F31" s="2">
        <v>13</v>
      </c>
      <c r="G31" s="2">
        <v>49000000</v>
      </c>
      <c r="H31" s="2">
        <v>50</v>
      </c>
    </row>
    <row r="32" spans="1:8" ht="16" x14ac:dyDescent="0.2">
      <c r="A32" s="2" t="s">
        <v>276</v>
      </c>
      <c r="B32" s="2" t="s">
        <v>363</v>
      </c>
      <c r="C32" s="2">
        <v>1810</v>
      </c>
      <c r="D32" s="2">
        <v>45</v>
      </c>
      <c r="E32" s="2">
        <v>74</v>
      </c>
      <c r="F32" s="2">
        <v>14</v>
      </c>
      <c r="G32" s="2">
        <v>51600000</v>
      </c>
      <c r="H32" s="2">
        <v>50</v>
      </c>
    </row>
    <row r="33" spans="1:8" ht="16" x14ac:dyDescent="0.2">
      <c r="A33" s="2" t="s">
        <v>276</v>
      </c>
      <c r="B33" s="2" t="s">
        <v>364</v>
      </c>
      <c r="C33" s="2">
        <v>1810</v>
      </c>
      <c r="D33" s="2">
        <v>43</v>
      </c>
      <c r="E33" s="2">
        <v>87</v>
      </c>
      <c r="F33" s="2">
        <v>13</v>
      </c>
      <c r="G33" s="2">
        <v>54000000</v>
      </c>
      <c r="H33" s="2">
        <v>50</v>
      </c>
    </row>
    <row r="34" spans="1:8" ht="16" x14ac:dyDescent="0.2">
      <c r="A34" s="2" t="s">
        <v>276</v>
      </c>
      <c r="B34" s="2" t="s">
        <v>365</v>
      </c>
      <c r="C34" s="2">
        <v>1836</v>
      </c>
      <c r="D34" s="2">
        <v>45</v>
      </c>
      <c r="E34" s="2">
        <v>85</v>
      </c>
      <c r="F34" s="2">
        <v>12</v>
      </c>
      <c r="G34" s="2">
        <v>56600000</v>
      </c>
      <c r="H34" s="2">
        <v>50</v>
      </c>
    </row>
    <row r="35" spans="1:8" ht="16" x14ac:dyDescent="0.2">
      <c r="A35" s="2" t="s">
        <v>276</v>
      </c>
      <c r="B35" s="2" t="s">
        <v>366</v>
      </c>
      <c r="C35" s="2">
        <v>2065</v>
      </c>
      <c r="D35" s="2">
        <v>53</v>
      </c>
      <c r="E35" s="2">
        <v>85</v>
      </c>
      <c r="F35" s="2">
        <v>12</v>
      </c>
      <c r="G35" s="2">
        <v>59200000</v>
      </c>
      <c r="H35" s="2">
        <v>50</v>
      </c>
    </row>
    <row r="36" spans="1:8" ht="16" x14ac:dyDescent="0.2">
      <c r="A36" s="2" t="s">
        <v>276</v>
      </c>
      <c r="B36" s="2" t="s">
        <v>367</v>
      </c>
      <c r="C36" s="2">
        <v>2015</v>
      </c>
      <c r="D36" s="2">
        <v>51</v>
      </c>
      <c r="E36" s="2">
        <v>91</v>
      </c>
      <c r="F36" s="2">
        <v>12</v>
      </c>
      <c r="G36" s="2">
        <v>62100000</v>
      </c>
      <c r="H36" s="2">
        <v>47</v>
      </c>
    </row>
    <row r="37" spans="1:8" ht="16" x14ac:dyDescent="0.2">
      <c r="A37" s="2" t="s">
        <v>276</v>
      </c>
      <c r="B37" s="2" t="s">
        <v>368</v>
      </c>
      <c r="C37" s="2">
        <v>1908</v>
      </c>
      <c r="D37" s="2">
        <v>46</v>
      </c>
      <c r="E37" s="2">
        <v>86</v>
      </c>
      <c r="F37" s="2">
        <v>13</v>
      </c>
      <c r="G37" s="2">
        <v>64500000</v>
      </c>
      <c r="H37" s="2">
        <v>40</v>
      </c>
    </row>
    <row r="38" spans="1:8" ht="16" x14ac:dyDescent="0.2">
      <c r="A38" s="2" t="s">
        <v>276</v>
      </c>
      <c r="B38" s="2" t="s">
        <v>369</v>
      </c>
      <c r="C38" s="2">
        <v>1847</v>
      </c>
      <c r="D38" s="2">
        <v>45</v>
      </c>
      <c r="E38" s="2">
        <v>89</v>
      </c>
      <c r="F38" s="2">
        <v>14</v>
      </c>
      <c r="G38" s="2">
        <v>66800000</v>
      </c>
      <c r="H38" s="2">
        <v>38</v>
      </c>
    </row>
    <row r="39" spans="1:8" ht="16" x14ac:dyDescent="0.2">
      <c r="A39" s="2" t="s">
        <v>276</v>
      </c>
      <c r="B39" s="2" t="s">
        <v>370</v>
      </c>
      <c r="C39" s="2">
        <v>1678</v>
      </c>
      <c r="D39" s="2">
        <v>39</v>
      </c>
      <c r="E39" s="2">
        <v>80</v>
      </c>
      <c r="F39" s="2">
        <v>13</v>
      </c>
      <c r="G39" s="2">
        <v>69400000</v>
      </c>
      <c r="H39" s="2">
        <v>53</v>
      </c>
    </row>
    <row r="40" spans="1:8" ht="16" x14ac:dyDescent="0.2">
      <c r="A40" s="2" t="s">
        <v>276</v>
      </c>
      <c r="B40" s="2" t="s">
        <v>371</v>
      </c>
      <c r="C40" s="2">
        <v>1547</v>
      </c>
      <c r="D40" s="2">
        <v>36</v>
      </c>
      <c r="E40" s="2">
        <v>65</v>
      </c>
      <c r="F40" s="2">
        <v>12</v>
      </c>
      <c r="G40" s="2">
        <v>71000000</v>
      </c>
      <c r="H40" s="2">
        <v>58</v>
      </c>
    </row>
    <row r="41" spans="1:8" ht="16" x14ac:dyDescent="0.2">
      <c r="A41" s="2" t="s">
        <v>276</v>
      </c>
      <c r="B41" s="2" t="s">
        <v>372</v>
      </c>
      <c r="C41" s="2">
        <v>1399</v>
      </c>
      <c r="D41" s="2">
        <v>30</v>
      </c>
      <c r="E41" s="2">
        <v>62</v>
      </c>
      <c r="F41" s="2">
        <v>9</v>
      </c>
      <c r="G41" s="2">
        <v>71400000</v>
      </c>
      <c r="H41" s="2">
        <v>58</v>
      </c>
    </row>
    <row r="42" spans="1:8" ht="16" x14ac:dyDescent="0.2">
      <c r="A42" s="2" t="s">
        <v>276</v>
      </c>
      <c r="B42" s="2" t="s">
        <v>373</v>
      </c>
      <c r="C42" s="2">
        <v>1213</v>
      </c>
      <c r="D42" s="2">
        <v>23</v>
      </c>
      <c r="E42" s="2">
        <v>54</v>
      </c>
      <c r="F42" s="2">
        <v>9</v>
      </c>
      <c r="G42" s="2">
        <v>73100000</v>
      </c>
      <c r="H42" s="2">
        <v>55</v>
      </c>
    </row>
    <row r="43" spans="1:8" ht="16" x14ac:dyDescent="0.2">
      <c r="A43" s="2" t="s">
        <v>276</v>
      </c>
      <c r="B43" s="2" t="s">
        <v>374</v>
      </c>
      <c r="C43" s="2">
        <v>1198</v>
      </c>
      <c r="D43" s="2">
        <v>24</v>
      </c>
      <c r="E43" s="2">
        <v>50</v>
      </c>
      <c r="F43" s="2">
        <v>9</v>
      </c>
      <c r="G43" s="2">
        <v>74100000</v>
      </c>
      <c r="H43" s="2">
        <v>58</v>
      </c>
    </row>
    <row r="44" spans="1:8" ht="16" x14ac:dyDescent="0.2">
      <c r="A44" s="2" t="s">
        <v>276</v>
      </c>
      <c r="B44" s="2" t="s">
        <v>375</v>
      </c>
      <c r="C44" s="2">
        <v>1105</v>
      </c>
      <c r="D44" s="2">
        <v>21</v>
      </c>
      <c r="E44" s="2">
        <v>44</v>
      </c>
      <c r="F44" s="2">
        <v>9</v>
      </c>
      <c r="G44" s="2">
        <v>74200000</v>
      </c>
      <c r="H44" s="2">
        <v>58</v>
      </c>
    </row>
    <row r="45" spans="1:8" ht="16" x14ac:dyDescent="0.2">
      <c r="A45" s="2" t="s">
        <v>276</v>
      </c>
      <c r="B45" s="2" t="s">
        <v>376</v>
      </c>
      <c r="C45" s="2">
        <v>1079</v>
      </c>
      <c r="D45" s="2">
        <v>20</v>
      </c>
      <c r="E45" s="2">
        <v>41</v>
      </c>
      <c r="F45" s="2">
        <v>9</v>
      </c>
      <c r="G45" s="2">
        <v>75600000</v>
      </c>
      <c r="H45" s="2">
        <v>52</v>
      </c>
    </row>
    <row r="46" spans="1:8" ht="16" x14ac:dyDescent="0.2">
      <c r="A46" s="2" t="s">
        <v>276</v>
      </c>
      <c r="B46" s="2" t="s">
        <v>377</v>
      </c>
      <c r="C46" s="2">
        <v>1065</v>
      </c>
      <c r="D46" s="2">
        <v>19</v>
      </c>
      <c r="E46" s="2">
        <v>42</v>
      </c>
      <c r="F46" s="2">
        <v>9</v>
      </c>
      <c r="G46" s="2">
        <v>76500000</v>
      </c>
      <c r="H46" s="2">
        <v>52</v>
      </c>
    </row>
    <row r="47" spans="1:8" ht="16" x14ac:dyDescent="0.2">
      <c r="A47" s="2" t="s">
        <v>276</v>
      </c>
      <c r="B47" s="2" t="s">
        <v>378</v>
      </c>
      <c r="C47" s="2">
        <v>1053</v>
      </c>
      <c r="D47" s="2">
        <v>19</v>
      </c>
      <c r="E47" s="2">
        <v>41</v>
      </c>
      <c r="F47" s="2">
        <v>10</v>
      </c>
      <c r="G47" s="2">
        <v>76900000</v>
      </c>
      <c r="H47" s="2">
        <v>55</v>
      </c>
    </row>
    <row r="48" spans="1:8" ht="16" x14ac:dyDescent="0.2">
      <c r="A48" s="2" t="s">
        <v>276</v>
      </c>
      <c r="B48" s="2" t="s">
        <v>379</v>
      </c>
      <c r="C48" s="2">
        <v>1008</v>
      </c>
      <c r="D48" s="2">
        <v>19</v>
      </c>
      <c r="E48" s="2">
        <v>38</v>
      </c>
      <c r="F48" s="2">
        <v>10</v>
      </c>
      <c r="G48" s="2">
        <v>77000000</v>
      </c>
      <c r="H48" s="2">
        <v>55</v>
      </c>
    </row>
    <row r="49" spans="1:8" ht="16" x14ac:dyDescent="0.2">
      <c r="A49" s="2" t="s">
        <v>276</v>
      </c>
      <c r="B49" s="2" t="s">
        <v>380</v>
      </c>
      <c r="C49" s="2">
        <v>1087</v>
      </c>
      <c r="D49" s="2">
        <v>21</v>
      </c>
      <c r="E49" s="2">
        <v>38</v>
      </c>
      <c r="F49" s="2">
        <v>9</v>
      </c>
      <c r="G49" s="2">
        <v>78200000</v>
      </c>
      <c r="H49" s="2">
        <v>55</v>
      </c>
    </row>
    <row r="50" spans="1:8" ht="16" x14ac:dyDescent="0.2">
      <c r="A50" s="2" t="s">
        <v>276</v>
      </c>
      <c r="B50" s="2" t="s">
        <v>381</v>
      </c>
      <c r="C50" s="2">
        <v>972</v>
      </c>
      <c r="D50" s="2">
        <v>19</v>
      </c>
      <c r="E50" s="2">
        <v>35</v>
      </c>
      <c r="F50" s="2">
        <v>9</v>
      </c>
      <c r="G50" s="2">
        <v>79000000</v>
      </c>
      <c r="H50" s="2">
        <v>56</v>
      </c>
    </row>
    <row r="51" spans="1:8" ht="16" x14ac:dyDescent="0.2">
      <c r="A51" s="2" t="s">
        <v>276</v>
      </c>
      <c r="B51" s="2" t="s">
        <v>382</v>
      </c>
      <c r="C51" s="2">
        <v>988</v>
      </c>
      <c r="D51" s="2">
        <v>21</v>
      </c>
      <c r="E51" s="2">
        <v>30</v>
      </c>
      <c r="F51" s="2">
        <v>9</v>
      </c>
      <c r="G51" s="2">
        <v>80300000</v>
      </c>
      <c r="H51" s="2">
        <v>56</v>
      </c>
    </row>
    <row r="52" spans="1:8" ht="16" x14ac:dyDescent="0.2">
      <c r="A52" s="2" t="s">
        <v>276</v>
      </c>
      <c r="B52" s="2" t="s">
        <v>383</v>
      </c>
      <c r="C52" s="2">
        <v>981</v>
      </c>
      <c r="D52" s="2">
        <v>21</v>
      </c>
      <c r="E52" s="2">
        <v>33</v>
      </c>
      <c r="F52" s="2">
        <v>9</v>
      </c>
      <c r="G52" s="2">
        <v>81500000</v>
      </c>
      <c r="H52" s="2">
        <v>56</v>
      </c>
    </row>
    <row r="53" spans="1:8" ht="16" x14ac:dyDescent="0.2">
      <c r="A53" s="2" t="s">
        <v>276</v>
      </c>
      <c r="B53" s="2" t="s">
        <v>384</v>
      </c>
      <c r="C53" s="2">
        <v>1002</v>
      </c>
      <c r="D53" s="2">
        <v>23</v>
      </c>
      <c r="E53" s="2">
        <v>33</v>
      </c>
      <c r="F53" s="2">
        <v>6</v>
      </c>
      <c r="G53" s="2">
        <v>82500000</v>
      </c>
      <c r="H53" s="2">
        <v>56</v>
      </c>
    </row>
    <row r="54" spans="1:8" ht="16" x14ac:dyDescent="0.2">
      <c r="A54" s="2" t="s">
        <v>276</v>
      </c>
      <c r="B54" s="2" t="s">
        <v>385</v>
      </c>
      <c r="C54" s="2">
        <v>1110</v>
      </c>
      <c r="D54" s="2">
        <v>29</v>
      </c>
      <c r="E54" s="2">
        <v>28</v>
      </c>
      <c r="F54" s="2">
        <v>6</v>
      </c>
      <c r="G54" s="2">
        <v>83900000</v>
      </c>
      <c r="H54" s="2">
        <v>56</v>
      </c>
    </row>
    <row r="55" spans="1:8" ht="16" x14ac:dyDescent="0.2">
      <c r="A55" s="2" t="s">
        <v>276</v>
      </c>
      <c r="B55" s="2" t="s">
        <v>386</v>
      </c>
      <c r="C55" s="2">
        <v>1024</v>
      </c>
      <c r="D55" s="2">
        <v>27</v>
      </c>
      <c r="E55" s="2">
        <v>25</v>
      </c>
      <c r="F55" s="2">
        <v>10</v>
      </c>
      <c r="G55" s="2">
        <v>85100000</v>
      </c>
      <c r="H55" s="2">
        <v>56</v>
      </c>
    </row>
    <row r="56" spans="1:8" ht="16" x14ac:dyDescent="0.2">
      <c r="A56" s="2" t="s">
        <v>276</v>
      </c>
      <c r="B56" s="2" t="s">
        <v>387</v>
      </c>
      <c r="C56" s="2">
        <v>1033</v>
      </c>
      <c r="D56" s="2">
        <v>27</v>
      </c>
      <c r="E56" s="2">
        <v>21</v>
      </c>
      <c r="F56" s="2">
        <v>9</v>
      </c>
      <c r="G56" s="2">
        <v>86500000</v>
      </c>
      <c r="H56" s="2">
        <v>56</v>
      </c>
    </row>
    <row r="57" spans="1:8" ht="16" x14ac:dyDescent="0.2">
      <c r="A57" s="2" t="s">
        <v>276</v>
      </c>
      <c r="B57" s="2" t="s">
        <v>388</v>
      </c>
      <c r="C57" s="2">
        <v>893</v>
      </c>
      <c r="D57" s="2">
        <v>20</v>
      </c>
      <c r="E57" s="2">
        <v>23</v>
      </c>
      <c r="F57" s="2">
        <v>9</v>
      </c>
      <c r="G57" s="2">
        <v>87400000</v>
      </c>
      <c r="H57" s="2">
        <v>56</v>
      </c>
    </row>
    <row r="58" spans="1:8" ht="16" x14ac:dyDescent="0.2">
      <c r="A58" s="2" t="s">
        <v>276</v>
      </c>
      <c r="B58" s="2" t="s">
        <v>389</v>
      </c>
      <c r="C58" s="2">
        <v>808</v>
      </c>
      <c r="D58" s="2">
        <v>17</v>
      </c>
      <c r="E58" s="2">
        <v>22</v>
      </c>
      <c r="F58" s="2">
        <v>9</v>
      </c>
      <c r="G58" s="2">
        <v>88600000</v>
      </c>
      <c r="H58" s="2">
        <v>56</v>
      </c>
    </row>
    <row r="59" spans="1:8" ht="16" x14ac:dyDescent="0.2">
      <c r="A59" s="2" t="s">
        <v>276</v>
      </c>
      <c r="B59" s="2" t="s">
        <v>390</v>
      </c>
      <c r="C59" s="2">
        <v>754</v>
      </c>
      <c r="D59" s="2">
        <v>16</v>
      </c>
      <c r="E59" s="2">
        <v>20</v>
      </c>
      <c r="F59" s="2">
        <v>6</v>
      </c>
      <c r="G59" s="2">
        <v>89600000</v>
      </c>
      <c r="H59" s="2">
        <v>56</v>
      </c>
    </row>
    <row r="60" spans="1:8" ht="16" x14ac:dyDescent="0.2">
      <c r="A60" s="2" t="s">
        <v>276</v>
      </c>
      <c r="B60" s="2" t="s">
        <v>391</v>
      </c>
      <c r="C60" s="2">
        <v>627</v>
      </c>
      <c r="D60" s="2">
        <v>11</v>
      </c>
      <c r="E60" s="2">
        <v>16</v>
      </c>
      <c r="F60" s="2">
        <v>4</v>
      </c>
      <c r="G60" s="2">
        <v>90400000</v>
      </c>
      <c r="H60" s="2">
        <v>62</v>
      </c>
    </row>
    <row r="61" spans="1:8" ht="16" x14ac:dyDescent="0.2">
      <c r="A61" s="2" t="s">
        <v>276</v>
      </c>
      <c r="B61" s="2" t="s">
        <v>392</v>
      </c>
      <c r="C61" s="2">
        <v>545</v>
      </c>
      <c r="D61" s="2">
        <v>8</v>
      </c>
      <c r="E61" s="2">
        <v>20</v>
      </c>
      <c r="F61" s="2">
        <v>4</v>
      </c>
      <c r="G61" s="2">
        <v>91100000</v>
      </c>
      <c r="H61" s="2">
        <v>62</v>
      </c>
    </row>
    <row r="62" spans="1:8" ht="16" x14ac:dyDescent="0.2">
      <c r="A62" s="2" t="s">
        <v>276</v>
      </c>
      <c r="B62" s="2" t="s">
        <v>393</v>
      </c>
      <c r="C62" s="2">
        <v>494</v>
      </c>
      <c r="D62" s="2">
        <v>8</v>
      </c>
      <c r="E62" s="2">
        <v>19</v>
      </c>
      <c r="F62" s="2">
        <v>4</v>
      </c>
      <c r="G62" s="2">
        <v>91600000</v>
      </c>
      <c r="H62" s="2">
        <v>62</v>
      </c>
    </row>
    <row r="63" spans="1:8" ht="16" x14ac:dyDescent="0.2">
      <c r="A63" s="2" t="s">
        <v>276</v>
      </c>
      <c r="B63" s="2" t="s">
        <v>394</v>
      </c>
      <c r="C63" s="2">
        <v>475</v>
      </c>
      <c r="D63" s="2">
        <v>8</v>
      </c>
      <c r="E63" s="2">
        <v>19</v>
      </c>
      <c r="F63" s="2">
        <v>4</v>
      </c>
      <c r="G63" s="2">
        <v>9200000</v>
      </c>
      <c r="H63" s="2">
        <v>63</v>
      </c>
    </row>
    <row r="64" spans="1:8" ht="16" x14ac:dyDescent="0.2">
      <c r="A64" s="2" t="s">
        <v>276</v>
      </c>
      <c r="B64" s="2" t="s">
        <v>395</v>
      </c>
      <c r="C64" s="2">
        <v>541</v>
      </c>
      <c r="D64" s="2">
        <v>11</v>
      </c>
      <c r="E64" s="2">
        <v>19</v>
      </c>
      <c r="F64" s="2">
        <v>4</v>
      </c>
      <c r="G64" s="2">
        <v>92500000</v>
      </c>
      <c r="H64" s="2">
        <v>64</v>
      </c>
    </row>
    <row r="65" spans="1:8" ht="16" x14ac:dyDescent="0.2">
      <c r="A65" s="2" t="s">
        <v>276</v>
      </c>
      <c r="B65" s="2" t="s">
        <v>396</v>
      </c>
      <c r="C65" s="2">
        <v>503</v>
      </c>
      <c r="D65" s="2">
        <v>10</v>
      </c>
      <c r="E65" s="2">
        <v>19</v>
      </c>
      <c r="F65" s="2">
        <v>4</v>
      </c>
      <c r="G65" s="2">
        <v>92700000</v>
      </c>
      <c r="H65" s="2">
        <v>64</v>
      </c>
    </row>
    <row r="66" spans="1:8" ht="16" x14ac:dyDescent="0.2">
      <c r="A66" s="2" t="s">
        <v>276</v>
      </c>
      <c r="B66" s="2" t="s">
        <v>397</v>
      </c>
      <c r="C66" s="2">
        <v>480</v>
      </c>
      <c r="D66" s="2">
        <v>9</v>
      </c>
      <c r="E66" s="2">
        <v>16</v>
      </c>
      <c r="F66" s="2">
        <v>4</v>
      </c>
      <c r="G66" s="2">
        <v>93200000</v>
      </c>
      <c r="H66" s="2">
        <v>64</v>
      </c>
    </row>
    <row r="67" spans="1:8" ht="16" x14ac:dyDescent="0.2">
      <c r="A67" s="2" t="s">
        <v>276</v>
      </c>
      <c r="B67" s="2" t="s">
        <v>398</v>
      </c>
      <c r="C67" s="2">
        <v>440</v>
      </c>
      <c r="D67" s="2">
        <v>8</v>
      </c>
      <c r="E67" s="2">
        <v>16</v>
      </c>
      <c r="F67" s="2">
        <v>4</v>
      </c>
      <c r="G67" s="2">
        <v>93700000</v>
      </c>
      <c r="H67" s="2">
        <v>64</v>
      </c>
    </row>
    <row r="68" spans="1:8" ht="16" x14ac:dyDescent="0.2">
      <c r="A68" s="2" t="s">
        <v>276</v>
      </c>
      <c r="B68" s="2" t="s">
        <v>399</v>
      </c>
      <c r="C68" s="2">
        <v>395</v>
      </c>
      <c r="D68" s="2">
        <v>6</v>
      </c>
      <c r="E68" s="2">
        <v>15</v>
      </c>
      <c r="F68" s="2">
        <v>4</v>
      </c>
      <c r="G68" s="2">
        <v>94000000</v>
      </c>
      <c r="H68" s="2">
        <v>65</v>
      </c>
    </row>
    <row r="69" spans="1:8" ht="16" x14ac:dyDescent="0.2">
      <c r="A69" s="2" t="s">
        <v>276</v>
      </c>
      <c r="B69" s="2" t="s">
        <v>400</v>
      </c>
      <c r="C69" s="2">
        <v>360</v>
      </c>
      <c r="D69" s="2">
        <v>5</v>
      </c>
      <c r="E69" s="2">
        <v>14</v>
      </c>
      <c r="F69" s="2">
        <v>4</v>
      </c>
      <c r="G69" s="2">
        <v>94400000</v>
      </c>
      <c r="H69" s="2">
        <v>65</v>
      </c>
    </row>
    <row r="70" spans="1:8" ht="16" x14ac:dyDescent="0.2">
      <c r="A70" s="2" t="s">
        <v>276</v>
      </c>
      <c r="B70" s="2" t="s">
        <v>401</v>
      </c>
      <c r="C70" s="2">
        <v>334</v>
      </c>
      <c r="D70" s="2">
        <v>4</v>
      </c>
      <c r="E70" s="2">
        <v>14</v>
      </c>
      <c r="F70" s="2">
        <v>4</v>
      </c>
      <c r="G70" s="2">
        <v>94700000</v>
      </c>
      <c r="H70" s="2">
        <v>65</v>
      </c>
    </row>
    <row r="71" spans="1:8" ht="16" x14ac:dyDescent="0.2">
      <c r="A71" s="2" t="s">
        <v>276</v>
      </c>
      <c r="B71" s="2" t="s">
        <v>402</v>
      </c>
      <c r="C71" s="2">
        <v>336</v>
      </c>
      <c r="D71" s="2">
        <v>4</v>
      </c>
      <c r="E71" s="2">
        <v>14</v>
      </c>
      <c r="F71" s="2">
        <v>5</v>
      </c>
      <c r="G71" s="2">
        <v>95100000</v>
      </c>
      <c r="H71" s="2">
        <v>65</v>
      </c>
    </row>
    <row r="72" spans="1:8" ht="16" x14ac:dyDescent="0.2">
      <c r="A72" s="2" t="s">
        <v>276</v>
      </c>
      <c r="B72" s="2" t="s">
        <v>403</v>
      </c>
      <c r="C72" s="2">
        <v>275</v>
      </c>
      <c r="D72" s="2">
        <v>3</v>
      </c>
      <c r="E72" s="2">
        <v>11</v>
      </c>
      <c r="F72" s="2">
        <v>4</v>
      </c>
      <c r="G72" s="2">
        <v>95200000</v>
      </c>
      <c r="H72" s="2">
        <v>65</v>
      </c>
    </row>
    <row r="73" spans="1:8" ht="16" x14ac:dyDescent="0.2">
      <c r="A73" s="2" t="s">
        <v>276</v>
      </c>
      <c r="B73" s="2" t="s">
        <v>404</v>
      </c>
      <c r="C73" s="2">
        <v>242</v>
      </c>
      <c r="D73" s="2">
        <v>2</v>
      </c>
      <c r="E73" s="2">
        <v>9</v>
      </c>
      <c r="F73" s="2">
        <v>6</v>
      </c>
      <c r="G73" s="2">
        <v>95700000</v>
      </c>
      <c r="H73" s="2">
        <v>71</v>
      </c>
    </row>
    <row r="74" spans="1:8" ht="16" x14ac:dyDescent="0.2">
      <c r="A74" s="2" t="s">
        <v>276</v>
      </c>
      <c r="B74" s="2" t="s">
        <v>547</v>
      </c>
      <c r="C74" s="2">
        <v>208</v>
      </c>
      <c r="D74" s="2">
        <v>2</v>
      </c>
      <c r="E74" s="2">
        <v>7</v>
      </c>
      <c r="F74" s="2">
        <v>6</v>
      </c>
      <c r="G74" s="2">
        <v>96000000</v>
      </c>
      <c r="H74" s="2">
        <v>71</v>
      </c>
    </row>
    <row r="75" spans="1:8" ht="16" x14ac:dyDescent="0.2">
      <c r="A75" s="2" t="s">
        <v>276</v>
      </c>
      <c r="B75" s="2" t="s">
        <v>548</v>
      </c>
      <c r="C75" s="2">
        <v>0</v>
      </c>
      <c r="D75" s="2">
        <v>0</v>
      </c>
      <c r="E75" s="2">
        <v>0</v>
      </c>
      <c r="F75" s="2">
        <v>0</v>
      </c>
      <c r="G75" s="2">
        <v>96000000</v>
      </c>
      <c r="H75" s="2">
        <v>71</v>
      </c>
    </row>
    <row r="76" spans="1:8" ht="16" x14ac:dyDescent="0.2">
      <c r="A76" s="2" t="s">
        <v>298</v>
      </c>
      <c r="B76" s="2" t="s">
        <v>412</v>
      </c>
      <c r="C76" s="2">
        <v>392</v>
      </c>
      <c r="D76" s="2">
        <v>22</v>
      </c>
      <c r="E76" s="2">
        <v>27</v>
      </c>
      <c r="F76" s="2">
        <v>3</v>
      </c>
      <c r="G76" s="2">
        <v>250000</v>
      </c>
      <c r="H76" s="2">
        <v>0</v>
      </c>
    </row>
    <row r="77" spans="1:8" ht="16" x14ac:dyDescent="0.2">
      <c r="A77" s="2" t="s">
        <v>298</v>
      </c>
      <c r="B77" s="2" t="s">
        <v>413</v>
      </c>
      <c r="C77" s="2">
        <v>1061</v>
      </c>
      <c r="D77" s="2">
        <v>35</v>
      </c>
      <c r="E77" s="2">
        <v>94</v>
      </c>
      <c r="F77" s="2">
        <v>10</v>
      </c>
      <c r="G77" s="2">
        <v>2300000</v>
      </c>
      <c r="H77" s="2">
        <v>24</v>
      </c>
    </row>
    <row r="78" spans="1:8" ht="16" x14ac:dyDescent="0.2">
      <c r="A78" s="2" t="s">
        <v>298</v>
      </c>
      <c r="B78" s="2" t="s">
        <v>414</v>
      </c>
      <c r="C78" s="2">
        <v>1344</v>
      </c>
      <c r="D78" s="2">
        <v>37</v>
      </c>
      <c r="E78" s="2">
        <v>110</v>
      </c>
      <c r="F78" s="2">
        <v>10</v>
      </c>
      <c r="G78" s="2">
        <v>5800000</v>
      </c>
      <c r="H78" s="2">
        <v>10</v>
      </c>
    </row>
    <row r="79" spans="1:8" ht="16" x14ac:dyDescent="0.2">
      <c r="A79" s="2" t="s">
        <v>298</v>
      </c>
      <c r="B79" s="2" t="s">
        <v>415</v>
      </c>
      <c r="C79" s="2">
        <v>1748</v>
      </c>
      <c r="D79" s="2">
        <v>51</v>
      </c>
      <c r="E79" s="2">
        <v>110</v>
      </c>
      <c r="F79" s="2">
        <v>10</v>
      </c>
      <c r="G79" s="2">
        <v>8000000</v>
      </c>
      <c r="H79" s="2">
        <v>10</v>
      </c>
    </row>
    <row r="80" spans="1:8" ht="16" x14ac:dyDescent="0.2">
      <c r="A80" s="2" t="s">
        <v>298</v>
      </c>
      <c r="B80" s="2" t="s">
        <v>416</v>
      </c>
      <c r="C80" s="2">
        <v>3410</v>
      </c>
      <c r="D80" s="2">
        <v>62</v>
      </c>
      <c r="E80" s="2">
        <v>328</v>
      </c>
      <c r="F80" s="2">
        <v>17</v>
      </c>
      <c r="G80" s="2">
        <v>9700000</v>
      </c>
      <c r="H80" s="2">
        <v>5</v>
      </c>
    </row>
    <row r="81" spans="1:8" ht="16" x14ac:dyDescent="0.2">
      <c r="A81" s="2" t="s">
        <v>298</v>
      </c>
      <c r="B81" s="2" t="s">
        <v>417</v>
      </c>
      <c r="C81" s="2">
        <v>3388</v>
      </c>
      <c r="D81" s="2">
        <v>54</v>
      </c>
      <c r="E81" s="2">
        <v>334</v>
      </c>
      <c r="F81" s="2">
        <v>17</v>
      </c>
      <c r="G81" s="2">
        <v>13600000</v>
      </c>
      <c r="H81" s="2">
        <v>5</v>
      </c>
    </row>
    <row r="82" spans="1:8" ht="16" x14ac:dyDescent="0.2">
      <c r="A82" s="2" t="s">
        <v>298</v>
      </c>
      <c r="B82" s="2" t="s">
        <v>418</v>
      </c>
      <c r="C82" s="2">
        <v>3388</v>
      </c>
      <c r="D82" s="2">
        <v>54</v>
      </c>
      <c r="E82" s="2">
        <v>334</v>
      </c>
      <c r="F82" s="2">
        <v>17</v>
      </c>
      <c r="G82" s="2">
        <v>20400000</v>
      </c>
      <c r="H82" s="2">
        <v>17</v>
      </c>
    </row>
    <row r="83" spans="1:8" ht="16" x14ac:dyDescent="0.2">
      <c r="A83" s="2" t="s">
        <v>298</v>
      </c>
      <c r="B83" s="2" t="s">
        <v>419</v>
      </c>
      <c r="C83" s="2">
        <v>3607</v>
      </c>
      <c r="D83" s="2">
        <v>54</v>
      </c>
      <c r="E83" s="2">
        <v>334</v>
      </c>
      <c r="F83" s="2">
        <v>17</v>
      </c>
      <c r="G83" s="2">
        <v>25400000</v>
      </c>
      <c r="H83" s="2">
        <v>23</v>
      </c>
    </row>
    <row r="84" spans="1:8" ht="16" x14ac:dyDescent="0.2">
      <c r="A84" s="2" t="s">
        <v>298</v>
      </c>
      <c r="B84" s="2" t="s">
        <v>420</v>
      </c>
      <c r="C84" s="2">
        <v>4151</v>
      </c>
      <c r="D84" s="2">
        <v>58</v>
      </c>
      <c r="E84" s="2">
        <v>366</v>
      </c>
      <c r="F84" s="2">
        <v>17</v>
      </c>
      <c r="G84" s="2">
        <v>30000000</v>
      </c>
      <c r="H84" s="2">
        <v>30</v>
      </c>
    </row>
    <row r="85" spans="1:8" ht="16" x14ac:dyDescent="0.2">
      <c r="A85" s="2" t="s">
        <v>298</v>
      </c>
      <c r="B85" s="2" t="s">
        <v>421</v>
      </c>
      <c r="C85" s="2">
        <v>4271</v>
      </c>
      <c r="D85" s="2">
        <v>58</v>
      </c>
      <c r="E85" s="2">
        <v>369</v>
      </c>
      <c r="F85" s="2">
        <v>17</v>
      </c>
      <c r="G85" s="2">
        <v>35500000</v>
      </c>
      <c r="H85" s="2">
        <v>35</v>
      </c>
    </row>
    <row r="86" spans="1:8" ht="16" x14ac:dyDescent="0.2">
      <c r="A86" s="2" t="s">
        <v>298</v>
      </c>
      <c r="B86" s="2" t="s">
        <v>422</v>
      </c>
      <c r="C86" s="2">
        <v>4345</v>
      </c>
      <c r="D86" s="2">
        <v>58</v>
      </c>
      <c r="E86" s="2">
        <v>380</v>
      </c>
      <c r="F86" s="2">
        <v>17</v>
      </c>
      <c r="G86" s="2">
        <v>41200000</v>
      </c>
      <c r="H86" s="2">
        <v>37</v>
      </c>
    </row>
    <row r="87" spans="1:8" ht="16" x14ac:dyDescent="0.2">
      <c r="A87" s="2" t="s">
        <v>298</v>
      </c>
      <c r="B87" s="2" t="s">
        <v>423</v>
      </c>
      <c r="C87" s="2">
        <v>4528</v>
      </c>
      <c r="D87" s="2">
        <v>60</v>
      </c>
      <c r="E87" s="2">
        <v>382</v>
      </c>
      <c r="F87" s="2">
        <v>16</v>
      </c>
      <c r="G87" s="2">
        <v>49200000</v>
      </c>
      <c r="H87" s="2">
        <v>39</v>
      </c>
    </row>
    <row r="88" spans="1:8" ht="16" x14ac:dyDescent="0.2">
      <c r="A88" s="2" t="s">
        <v>298</v>
      </c>
      <c r="B88" s="2" t="s">
        <v>424</v>
      </c>
      <c r="C88" s="2">
        <v>4674</v>
      </c>
      <c r="D88" s="2">
        <v>65</v>
      </c>
      <c r="E88" s="2">
        <v>386</v>
      </c>
      <c r="F88" s="2">
        <v>16</v>
      </c>
      <c r="G88" s="2">
        <v>55900000</v>
      </c>
      <c r="H88" s="2">
        <v>41</v>
      </c>
    </row>
    <row r="89" spans="1:8" ht="16" x14ac:dyDescent="0.2">
      <c r="A89" s="2" t="s">
        <v>298</v>
      </c>
      <c r="B89" s="2" t="s">
        <v>425</v>
      </c>
      <c r="C89" s="2">
        <v>4766</v>
      </c>
      <c r="D89" s="2">
        <v>68</v>
      </c>
      <c r="E89" s="2">
        <v>390</v>
      </c>
      <c r="F89" s="2">
        <v>16</v>
      </c>
      <c r="G89" s="2">
        <v>62700000</v>
      </c>
      <c r="H89" s="2">
        <v>43</v>
      </c>
    </row>
    <row r="90" spans="1:8" ht="16" x14ac:dyDescent="0.2">
      <c r="A90" s="2" t="s">
        <v>298</v>
      </c>
      <c r="B90" s="2" t="s">
        <v>426</v>
      </c>
      <c r="C90" s="2">
        <v>4738</v>
      </c>
      <c r="D90" s="2">
        <v>65</v>
      </c>
      <c r="E90" s="2">
        <v>388</v>
      </c>
      <c r="F90" s="2">
        <v>16</v>
      </c>
      <c r="G90" s="2">
        <v>69100000</v>
      </c>
      <c r="H90" s="2">
        <v>47</v>
      </c>
    </row>
    <row r="91" spans="1:8" ht="16" x14ac:dyDescent="0.2">
      <c r="A91" s="2" t="s">
        <v>298</v>
      </c>
      <c r="B91" s="2" t="s">
        <v>427</v>
      </c>
      <c r="C91" s="2">
        <v>4765</v>
      </c>
      <c r="D91" s="2">
        <v>66</v>
      </c>
      <c r="E91" s="2">
        <v>372</v>
      </c>
      <c r="F91" s="2">
        <v>16</v>
      </c>
      <c r="G91" s="2">
        <v>76900000</v>
      </c>
      <c r="H91" s="2">
        <v>47</v>
      </c>
    </row>
    <row r="92" spans="1:8" ht="16" x14ac:dyDescent="0.2">
      <c r="A92" s="2" t="s">
        <v>298</v>
      </c>
      <c r="B92" s="2" t="s">
        <v>428</v>
      </c>
      <c r="C92" s="2">
        <v>4761</v>
      </c>
      <c r="D92" s="2">
        <v>65</v>
      </c>
      <c r="E92" s="2">
        <v>293</v>
      </c>
      <c r="F92" s="2">
        <v>16</v>
      </c>
      <c r="G92" s="2">
        <v>85000000</v>
      </c>
      <c r="H92" s="2">
        <v>47</v>
      </c>
    </row>
    <row r="93" spans="1:8" ht="16" x14ac:dyDescent="0.2">
      <c r="A93" s="2" t="s">
        <v>298</v>
      </c>
      <c r="B93" s="2" t="s">
        <v>429</v>
      </c>
      <c r="C93" s="2">
        <v>4710</v>
      </c>
      <c r="D93" s="2">
        <v>62</v>
      </c>
      <c r="E93" s="2">
        <v>352</v>
      </c>
      <c r="F93" s="2">
        <v>16</v>
      </c>
      <c r="G93" s="2">
        <v>91000000</v>
      </c>
      <c r="H93" s="2">
        <v>49</v>
      </c>
    </row>
    <row r="94" spans="1:8" ht="16" x14ac:dyDescent="0.2">
      <c r="A94" s="2" t="s">
        <v>298</v>
      </c>
      <c r="B94" s="2" t="s">
        <v>430</v>
      </c>
      <c r="C94" s="2">
        <v>4665</v>
      </c>
      <c r="D94" s="2">
        <v>61</v>
      </c>
      <c r="E94" s="2">
        <v>335</v>
      </c>
      <c r="F94" s="2">
        <v>12</v>
      </c>
      <c r="G94" s="2">
        <v>97100000</v>
      </c>
      <c r="H94" s="2">
        <v>53</v>
      </c>
    </row>
    <row r="95" spans="1:8" ht="16" x14ac:dyDescent="0.2">
      <c r="A95" s="2" t="s">
        <v>298</v>
      </c>
      <c r="B95" s="2" t="s">
        <v>431</v>
      </c>
      <c r="C95" s="2">
        <v>4641</v>
      </c>
      <c r="D95" s="2">
        <v>62</v>
      </c>
      <c r="E95" s="2">
        <v>341</v>
      </c>
      <c r="F95" s="2">
        <v>13</v>
      </c>
      <c r="G95" s="2">
        <v>103000000</v>
      </c>
      <c r="H95" s="2">
        <v>57</v>
      </c>
    </row>
    <row r="96" spans="1:8" ht="16" x14ac:dyDescent="0.2">
      <c r="A96" s="2" t="s">
        <v>298</v>
      </c>
      <c r="B96" s="2" t="s">
        <v>432</v>
      </c>
      <c r="C96" s="2">
        <v>4641</v>
      </c>
      <c r="D96" s="2">
        <v>62</v>
      </c>
      <c r="E96" s="2">
        <v>341</v>
      </c>
      <c r="F96" s="2">
        <v>13</v>
      </c>
      <c r="G96" s="2">
        <v>109000000</v>
      </c>
      <c r="H96" s="2">
        <v>61</v>
      </c>
    </row>
    <row r="97" spans="1:8" ht="16" x14ac:dyDescent="0.2">
      <c r="A97" s="2" t="s">
        <v>298</v>
      </c>
      <c r="B97" s="2" t="s">
        <v>433</v>
      </c>
      <c r="C97" s="2">
        <v>4334</v>
      </c>
      <c r="D97" s="2">
        <v>63</v>
      </c>
      <c r="E97" s="2">
        <v>327</v>
      </c>
      <c r="F97" s="2">
        <v>13</v>
      </c>
      <c r="G97" s="2">
        <v>115000000</v>
      </c>
      <c r="H97" s="2">
        <v>63</v>
      </c>
    </row>
    <row r="98" spans="1:8" ht="16" x14ac:dyDescent="0.2">
      <c r="A98" s="2" t="s">
        <v>298</v>
      </c>
      <c r="B98" s="2" t="s">
        <v>434</v>
      </c>
      <c r="C98" s="2">
        <v>4101</v>
      </c>
      <c r="D98" s="2">
        <v>64</v>
      </c>
      <c r="E98" s="2">
        <v>287</v>
      </c>
      <c r="F98" s="2">
        <v>11</v>
      </c>
      <c r="G98" s="2">
        <v>120000000</v>
      </c>
      <c r="H98" s="2">
        <v>65</v>
      </c>
    </row>
    <row r="99" spans="1:8" ht="16" x14ac:dyDescent="0.2">
      <c r="A99" s="2" t="s">
        <v>298</v>
      </c>
      <c r="B99" s="2" t="s">
        <v>435</v>
      </c>
      <c r="C99" s="2">
        <v>3831</v>
      </c>
      <c r="D99" s="2">
        <v>67</v>
      </c>
      <c r="E99" s="2">
        <v>245</v>
      </c>
      <c r="F99" s="2">
        <v>12</v>
      </c>
      <c r="G99" s="2">
        <v>125000000</v>
      </c>
      <c r="H99" s="2">
        <v>69</v>
      </c>
    </row>
    <row r="100" spans="1:8" ht="16" x14ac:dyDescent="0.2">
      <c r="A100" s="2" t="s">
        <v>298</v>
      </c>
      <c r="B100" s="2" t="s">
        <v>436</v>
      </c>
      <c r="C100" s="2">
        <v>3573</v>
      </c>
      <c r="D100" s="2">
        <v>63</v>
      </c>
      <c r="E100" s="2">
        <v>220</v>
      </c>
      <c r="F100" s="2">
        <v>12</v>
      </c>
      <c r="G100" s="2">
        <v>130000000</v>
      </c>
      <c r="H100" s="2">
        <v>72</v>
      </c>
    </row>
    <row r="101" spans="1:8" ht="16" x14ac:dyDescent="0.2">
      <c r="A101" s="2" t="s">
        <v>298</v>
      </c>
      <c r="B101" s="2" t="s">
        <v>437</v>
      </c>
      <c r="C101" s="2">
        <v>3313</v>
      </c>
      <c r="D101" s="2">
        <v>36</v>
      </c>
      <c r="E101" s="2">
        <v>185</v>
      </c>
      <c r="F101" s="2">
        <v>13</v>
      </c>
      <c r="G101" s="2">
        <v>134000000</v>
      </c>
      <c r="H101" s="2">
        <v>77</v>
      </c>
    </row>
    <row r="102" spans="1:8" ht="16" x14ac:dyDescent="0.2">
      <c r="A102" s="2" t="s">
        <v>298</v>
      </c>
      <c r="B102" s="2" t="s">
        <v>438</v>
      </c>
      <c r="C102" s="2">
        <v>3101</v>
      </c>
      <c r="D102" s="2">
        <v>56</v>
      </c>
      <c r="E102" s="2">
        <v>173</v>
      </c>
      <c r="F102" s="2">
        <v>9</v>
      </c>
      <c r="G102" s="2">
        <v>138000000</v>
      </c>
      <c r="H102" s="2">
        <v>81</v>
      </c>
    </row>
    <row r="103" spans="1:8" ht="16" x14ac:dyDescent="0.2">
      <c r="A103" s="2" t="s">
        <v>298</v>
      </c>
      <c r="B103" s="2" t="s">
        <v>439</v>
      </c>
      <c r="C103" s="2">
        <v>2713</v>
      </c>
      <c r="D103" s="2">
        <v>49</v>
      </c>
      <c r="E103" s="2">
        <v>152</v>
      </c>
      <c r="F103" s="2">
        <v>9</v>
      </c>
      <c r="G103" s="2">
        <v>142000000</v>
      </c>
      <c r="H103" s="2">
        <v>85</v>
      </c>
    </row>
    <row r="104" spans="1:8" ht="16" x14ac:dyDescent="0.2">
      <c r="A104" s="2" t="s">
        <v>298</v>
      </c>
      <c r="B104" s="2" t="s">
        <v>440</v>
      </c>
      <c r="C104" s="2">
        <v>2011</v>
      </c>
      <c r="D104" s="2">
        <v>25</v>
      </c>
      <c r="E104" s="2">
        <v>132</v>
      </c>
      <c r="F104" s="2">
        <v>5</v>
      </c>
      <c r="G104" s="2">
        <v>145000000</v>
      </c>
      <c r="H104" s="2">
        <v>88</v>
      </c>
    </row>
    <row r="105" spans="1:8" ht="16" x14ac:dyDescent="0.2">
      <c r="A105" s="2" t="s">
        <v>298</v>
      </c>
      <c r="B105" s="2" t="s">
        <v>441</v>
      </c>
      <c r="C105" s="2">
        <v>1592</v>
      </c>
      <c r="D105" s="2">
        <v>20</v>
      </c>
      <c r="E105" s="2">
        <v>87</v>
      </c>
      <c r="F105" s="2">
        <v>3</v>
      </c>
      <c r="G105" s="2">
        <v>148000000</v>
      </c>
      <c r="H105" s="2">
        <v>91</v>
      </c>
    </row>
    <row r="106" spans="1:8" ht="16" x14ac:dyDescent="0.2">
      <c r="A106" s="2" t="s">
        <v>298</v>
      </c>
      <c r="B106" s="2" t="s">
        <v>442</v>
      </c>
      <c r="C106" s="2">
        <v>1100</v>
      </c>
      <c r="D106" s="2">
        <v>14</v>
      </c>
      <c r="E106" s="2">
        <v>50</v>
      </c>
      <c r="F106" s="2">
        <v>0</v>
      </c>
      <c r="G106" s="2">
        <v>152000000</v>
      </c>
      <c r="H106" s="2">
        <v>93</v>
      </c>
    </row>
    <row r="107" spans="1:8" ht="16" x14ac:dyDescent="0.2">
      <c r="A107" s="2" t="s">
        <v>298</v>
      </c>
      <c r="B107" s="2" t="s">
        <v>443</v>
      </c>
      <c r="C107" s="2">
        <v>1040</v>
      </c>
      <c r="D107" s="2">
        <v>14</v>
      </c>
      <c r="E107" s="2">
        <v>32</v>
      </c>
      <c r="F107" s="2">
        <v>2</v>
      </c>
      <c r="G107" s="2">
        <v>153000000</v>
      </c>
      <c r="H107" s="2">
        <v>94</v>
      </c>
    </row>
    <row r="108" spans="1:8" ht="16" x14ac:dyDescent="0.2">
      <c r="A108" s="2" t="s">
        <v>298</v>
      </c>
      <c r="B108" s="2" t="s">
        <v>444</v>
      </c>
      <c r="C108" s="2">
        <v>798</v>
      </c>
      <c r="D108" s="2">
        <v>10</v>
      </c>
      <c r="E108" s="2">
        <v>22</v>
      </c>
      <c r="F108" s="2">
        <v>2</v>
      </c>
      <c r="G108" s="2">
        <v>154000000</v>
      </c>
      <c r="H108" s="2">
        <v>94</v>
      </c>
    </row>
    <row r="109" spans="1:8" ht="16" x14ac:dyDescent="0.2">
      <c r="A109" s="2" t="s">
        <v>298</v>
      </c>
      <c r="B109" s="2" t="s">
        <v>445</v>
      </c>
      <c r="C109" s="2">
        <v>724</v>
      </c>
      <c r="D109" s="2">
        <v>9</v>
      </c>
      <c r="E109" s="2">
        <v>23</v>
      </c>
      <c r="F109" s="2">
        <v>1</v>
      </c>
      <c r="G109" s="2">
        <v>155000000</v>
      </c>
      <c r="H109" s="2">
        <v>95</v>
      </c>
    </row>
    <row r="110" spans="1:8" ht="16" x14ac:dyDescent="0.2">
      <c r="A110" s="2" t="s">
        <v>298</v>
      </c>
      <c r="B110" s="2" t="s">
        <v>446</v>
      </c>
      <c r="C110" s="2">
        <v>688</v>
      </c>
      <c r="D110" s="2">
        <v>9</v>
      </c>
      <c r="E110" s="2">
        <v>23</v>
      </c>
      <c r="F110" s="2">
        <v>1</v>
      </c>
      <c r="G110" s="2">
        <v>155000000</v>
      </c>
      <c r="H110" s="2">
        <v>96</v>
      </c>
    </row>
    <row r="111" spans="1:8" ht="16" x14ac:dyDescent="0.2">
      <c r="A111" s="2" t="s">
        <v>298</v>
      </c>
      <c r="B111" s="2" t="s">
        <v>447</v>
      </c>
      <c r="C111" s="2">
        <v>627</v>
      </c>
      <c r="D111" s="2">
        <v>8</v>
      </c>
      <c r="E111" s="2">
        <v>16</v>
      </c>
      <c r="F111" s="2">
        <v>0</v>
      </c>
      <c r="G111" s="2">
        <v>156000000</v>
      </c>
      <c r="H111" s="2">
        <v>96</v>
      </c>
    </row>
    <row r="112" spans="1:8" ht="16" x14ac:dyDescent="0.2">
      <c r="A112" s="2" t="s">
        <v>298</v>
      </c>
      <c r="B112" s="2" t="s">
        <v>448</v>
      </c>
      <c r="C112" s="2">
        <v>586</v>
      </c>
      <c r="D112" s="2">
        <v>6</v>
      </c>
      <c r="E112" s="2">
        <v>16</v>
      </c>
      <c r="F112" s="2">
        <v>0</v>
      </c>
      <c r="G112" s="2">
        <v>157000000</v>
      </c>
      <c r="H112" s="2">
        <v>97</v>
      </c>
    </row>
    <row r="113" spans="1:8" ht="16" x14ac:dyDescent="0.2">
      <c r="A113" s="2" t="s">
        <v>298</v>
      </c>
      <c r="B113" s="2" t="s">
        <v>449</v>
      </c>
      <c r="C113" s="2">
        <v>505</v>
      </c>
      <c r="D113" s="2">
        <v>5</v>
      </c>
      <c r="E113" s="2">
        <v>11</v>
      </c>
      <c r="F113" s="2">
        <v>0</v>
      </c>
      <c r="G113" s="2">
        <v>158000000</v>
      </c>
      <c r="H113" s="2">
        <v>98</v>
      </c>
    </row>
    <row r="114" spans="1:8" ht="16" x14ac:dyDescent="0.2">
      <c r="A114" s="2" t="s">
        <v>298</v>
      </c>
      <c r="B114" s="2" t="s">
        <v>450</v>
      </c>
      <c r="C114" s="2">
        <v>456</v>
      </c>
      <c r="D114" s="2">
        <v>4</v>
      </c>
      <c r="E114" s="2">
        <v>11</v>
      </c>
      <c r="F114" s="2">
        <v>0</v>
      </c>
      <c r="G114" s="2">
        <v>158000000</v>
      </c>
      <c r="H114" s="2">
        <v>100</v>
      </c>
    </row>
    <row r="115" spans="1:8" ht="16" x14ac:dyDescent="0.2">
      <c r="A115" s="2" t="s">
        <v>307</v>
      </c>
      <c r="B115" s="2" t="s">
        <v>456</v>
      </c>
      <c r="C115" s="2">
        <v>2303</v>
      </c>
      <c r="D115" s="2">
        <v>58</v>
      </c>
      <c r="E115" s="2">
        <v>303</v>
      </c>
      <c r="F115" s="2">
        <v>13</v>
      </c>
      <c r="G115" s="2">
        <v>1500000</v>
      </c>
      <c r="H115" s="2">
        <v>5</v>
      </c>
    </row>
    <row r="116" spans="1:8" ht="16" x14ac:dyDescent="0.2">
      <c r="A116" s="2" t="s">
        <v>307</v>
      </c>
      <c r="B116" s="2" t="s">
        <v>459</v>
      </c>
      <c r="C116" s="2">
        <v>4555</v>
      </c>
      <c r="D116" s="2">
        <v>86</v>
      </c>
      <c r="E116" s="2">
        <v>571</v>
      </c>
      <c r="F116" s="2">
        <v>21</v>
      </c>
      <c r="G116" s="2">
        <v>16000000</v>
      </c>
      <c r="H116" s="2">
        <v>25</v>
      </c>
    </row>
    <row r="117" spans="1:8" ht="16" x14ac:dyDescent="0.2">
      <c r="A117" s="2" t="s">
        <v>307</v>
      </c>
      <c r="B117" s="2" t="s">
        <v>460</v>
      </c>
      <c r="C117" s="2">
        <v>5139</v>
      </c>
      <c r="D117" s="2">
        <v>91</v>
      </c>
      <c r="E117" s="2">
        <v>622</v>
      </c>
      <c r="F117" s="2">
        <v>21</v>
      </c>
      <c r="G117" s="2">
        <v>24600000</v>
      </c>
      <c r="H117" s="2">
        <v>30</v>
      </c>
    </row>
    <row r="118" spans="1:8" ht="16" x14ac:dyDescent="0.2">
      <c r="A118" s="2" t="s">
        <v>307</v>
      </c>
      <c r="B118" s="2" t="s">
        <v>461</v>
      </c>
      <c r="C118" s="2">
        <v>5615</v>
      </c>
      <c r="D118" s="2">
        <v>93</v>
      </c>
      <c r="E118" s="2">
        <v>630</v>
      </c>
      <c r="F118" s="2">
        <v>23</v>
      </c>
      <c r="G118" s="2">
        <v>33200000</v>
      </c>
      <c r="H118" s="2">
        <v>35</v>
      </c>
    </row>
    <row r="119" spans="1:8" ht="16" x14ac:dyDescent="0.2">
      <c r="A119" s="2" t="s">
        <v>307</v>
      </c>
      <c r="B119" s="2" t="s">
        <v>462</v>
      </c>
      <c r="C119" s="2">
        <v>5473</v>
      </c>
      <c r="D119" s="2">
        <v>95</v>
      </c>
      <c r="E119" s="2">
        <v>620</v>
      </c>
      <c r="F119" s="2">
        <v>24</v>
      </c>
      <c r="G119" s="2">
        <v>46300000</v>
      </c>
      <c r="H119" s="2">
        <v>40</v>
      </c>
    </row>
    <row r="120" spans="1:8" ht="16" x14ac:dyDescent="0.2">
      <c r="A120" s="2" t="s">
        <v>307</v>
      </c>
      <c r="B120" s="2" t="s">
        <v>463</v>
      </c>
      <c r="C120" s="2">
        <v>5596</v>
      </c>
      <c r="D120" s="2">
        <v>95</v>
      </c>
      <c r="E120" s="2">
        <v>622</v>
      </c>
      <c r="F120" s="2">
        <v>24</v>
      </c>
      <c r="G120" s="2">
        <v>50000000</v>
      </c>
      <c r="H120" s="2">
        <v>40</v>
      </c>
    </row>
    <row r="121" spans="1:8" ht="16" x14ac:dyDescent="0.2">
      <c r="A121" s="2" t="s">
        <v>307</v>
      </c>
      <c r="B121" s="2" t="s">
        <v>466</v>
      </c>
      <c r="C121" s="2">
        <v>5332</v>
      </c>
      <c r="D121" s="2">
        <v>92</v>
      </c>
      <c r="E121" s="2">
        <v>597</v>
      </c>
      <c r="F121" s="2">
        <v>28</v>
      </c>
      <c r="G121" s="2">
        <v>78800000</v>
      </c>
      <c r="H121" s="2">
        <v>66</v>
      </c>
    </row>
    <row r="122" spans="1:8" ht="16" x14ac:dyDescent="0.2">
      <c r="A122" s="2" t="s">
        <v>307</v>
      </c>
      <c r="B122" s="2" t="s">
        <v>467</v>
      </c>
      <c r="C122" s="2">
        <v>4736</v>
      </c>
      <c r="D122" s="2">
        <v>83</v>
      </c>
      <c r="E122" s="2">
        <v>390</v>
      </c>
      <c r="F122" s="2">
        <v>17</v>
      </c>
      <c r="G122" s="2">
        <v>82200000</v>
      </c>
      <c r="H122" s="2">
        <v>70</v>
      </c>
    </row>
    <row r="123" spans="1:8" ht="16" x14ac:dyDescent="0.2">
      <c r="A123" s="2" t="s">
        <v>307</v>
      </c>
      <c r="B123" s="2" t="s">
        <v>468</v>
      </c>
      <c r="C123" s="2">
        <v>3920</v>
      </c>
      <c r="D123" s="2">
        <v>65</v>
      </c>
      <c r="E123" s="2">
        <v>320</v>
      </c>
      <c r="F123" s="2">
        <v>17</v>
      </c>
      <c r="G123" s="2">
        <v>88500000</v>
      </c>
      <c r="H123" s="2">
        <v>75</v>
      </c>
    </row>
    <row r="124" spans="1:8" ht="16" x14ac:dyDescent="0.2">
      <c r="A124" s="2" t="s">
        <v>307</v>
      </c>
      <c r="B124" s="2" t="s">
        <v>470</v>
      </c>
      <c r="C124" s="2">
        <v>1630</v>
      </c>
      <c r="D124" s="2">
        <v>9</v>
      </c>
      <c r="E124" s="2">
        <v>128</v>
      </c>
      <c r="F124" s="2">
        <v>5</v>
      </c>
      <c r="G124" s="2">
        <v>96900000</v>
      </c>
      <c r="H124" s="2">
        <v>95</v>
      </c>
    </row>
    <row r="125" spans="1:8" ht="16" x14ac:dyDescent="0.2">
      <c r="A125" s="2" t="s">
        <v>307</v>
      </c>
      <c r="B125" s="2" t="s">
        <v>477</v>
      </c>
      <c r="C125" s="2">
        <v>642</v>
      </c>
      <c r="D125" s="2">
        <v>0</v>
      </c>
      <c r="E125" s="2">
        <v>17</v>
      </c>
      <c r="F125" s="2">
        <v>0</v>
      </c>
      <c r="G125" s="2">
        <v>102800000</v>
      </c>
      <c r="H125" s="2">
        <v>100</v>
      </c>
    </row>
    <row r="126" spans="1:8" ht="16" x14ac:dyDescent="0.2">
      <c r="A126" s="2" t="s">
        <v>316</v>
      </c>
      <c r="B126" s="2" t="s">
        <v>479</v>
      </c>
      <c r="C126" s="2">
        <v>370</v>
      </c>
      <c r="D126" s="2">
        <v>6</v>
      </c>
      <c r="E126" s="2">
        <v>43</v>
      </c>
      <c r="F126" s="2">
        <v>0</v>
      </c>
      <c r="G126" s="2">
        <v>600000</v>
      </c>
      <c r="H126" s="2">
        <v>0</v>
      </c>
    </row>
    <row r="127" spans="1:8" ht="16" x14ac:dyDescent="0.2">
      <c r="A127" s="2" t="s">
        <v>316</v>
      </c>
      <c r="B127" s="2" t="s">
        <v>480</v>
      </c>
      <c r="C127" s="2">
        <v>501</v>
      </c>
      <c r="D127" s="2">
        <v>8</v>
      </c>
      <c r="E127" s="2">
        <v>55</v>
      </c>
      <c r="F127" s="2">
        <v>2</v>
      </c>
      <c r="G127" s="2">
        <v>1600000</v>
      </c>
      <c r="H127" s="2">
        <v>0</v>
      </c>
    </row>
    <row r="128" spans="1:8" ht="16" x14ac:dyDescent="0.2">
      <c r="A128" s="2" t="s">
        <v>316</v>
      </c>
      <c r="B128" s="2" t="s">
        <v>481</v>
      </c>
      <c r="C128" s="2">
        <v>587</v>
      </c>
      <c r="D128" s="2">
        <v>7</v>
      </c>
      <c r="E128" s="2">
        <v>69</v>
      </c>
      <c r="F128" s="2">
        <v>8</v>
      </c>
      <c r="G128" s="2">
        <v>2200000</v>
      </c>
      <c r="H128" s="2">
        <v>0</v>
      </c>
    </row>
    <row r="129" spans="1:8" ht="16" x14ac:dyDescent="0.2">
      <c r="A129" s="2" t="s">
        <v>316</v>
      </c>
      <c r="B129" s="2" t="s">
        <v>482</v>
      </c>
      <c r="C129" s="2">
        <v>1059</v>
      </c>
      <c r="D129" s="2">
        <v>8</v>
      </c>
      <c r="E129" s="2">
        <v>102</v>
      </c>
      <c r="F129" s="2">
        <v>11</v>
      </c>
      <c r="G129" s="2">
        <v>4900000</v>
      </c>
      <c r="H129" s="2">
        <v>0</v>
      </c>
    </row>
    <row r="130" spans="1:8" ht="16" x14ac:dyDescent="0.2">
      <c r="A130" s="2" t="s">
        <v>316</v>
      </c>
      <c r="B130" s="2" t="s">
        <v>483</v>
      </c>
      <c r="C130" s="2">
        <v>1429</v>
      </c>
      <c r="D130" s="2">
        <v>9</v>
      </c>
      <c r="E130" s="2">
        <v>194</v>
      </c>
      <c r="F130" s="2">
        <v>11</v>
      </c>
      <c r="G130" s="2">
        <v>8500000</v>
      </c>
      <c r="H130" s="2">
        <v>15</v>
      </c>
    </row>
    <row r="131" spans="1:8" ht="16" x14ac:dyDescent="0.2">
      <c r="A131" s="2" t="s">
        <v>316</v>
      </c>
      <c r="B131" s="2" t="s">
        <v>484</v>
      </c>
      <c r="C131" s="2">
        <v>1704</v>
      </c>
      <c r="D131" s="2">
        <v>11</v>
      </c>
      <c r="E131" s="2">
        <v>233</v>
      </c>
      <c r="F131" s="2">
        <v>11</v>
      </c>
      <c r="G131" s="2">
        <v>12600000</v>
      </c>
      <c r="H131" s="2">
        <v>15</v>
      </c>
    </row>
    <row r="132" spans="1:8" ht="16" x14ac:dyDescent="0.2">
      <c r="A132" s="2" t="s">
        <v>316</v>
      </c>
      <c r="B132" s="2" t="s">
        <v>485</v>
      </c>
      <c r="C132" s="2">
        <v>1857</v>
      </c>
      <c r="D132" s="2">
        <v>11</v>
      </c>
      <c r="E132" s="2">
        <v>259</v>
      </c>
      <c r="F132" s="2">
        <v>12</v>
      </c>
      <c r="G132" s="2">
        <v>16500000</v>
      </c>
      <c r="H132" s="2">
        <v>21</v>
      </c>
    </row>
    <row r="133" spans="1:8" ht="16" x14ac:dyDescent="0.2">
      <c r="A133" s="2" t="s">
        <v>316</v>
      </c>
      <c r="B133" s="2" t="s">
        <v>486</v>
      </c>
      <c r="C133" s="2">
        <v>2194</v>
      </c>
      <c r="D133" s="2">
        <v>14</v>
      </c>
      <c r="E133" s="2">
        <v>304</v>
      </c>
      <c r="F133" s="2">
        <v>12</v>
      </c>
      <c r="G133" s="2">
        <v>20500000</v>
      </c>
      <c r="H133" s="2">
        <v>25</v>
      </c>
    </row>
    <row r="134" spans="1:8" ht="16" x14ac:dyDescent="0.2">
      <c r="A134" s="2" t="s">
        <v>316</v>
      </c>
      <c r="B134" s="2" t="s">
        <v>487</v>
      </c>
      <c r="C134" s="2">
        <v>2207</v>
      </c>
      <c r="D134" s="2">
        <v>13</v>
      </c>
      <c r="E134" s="2">
        <v>293</v>
      </c>
      <c r="F134" s="2">
        <v>11</v>
      </c>
      <c r="G134" s="2">
        <v>25400000</v>
      </c>
      <c r="H134" s="2">
        <v>27</v>
      </c>
    </row>
    <row r="135" spans="1:8" ht="16" x14ac:dyDescent="0.2">
      <c r="A135" s="2" t="s">
        <v>316</v>
      </c>
      <c r="B135" s="2" t="s">
        <v>488</v>
      </c>
      <c r="C135" s="2">
        <v>2292</v>
      </c>
      <c r="D135" s="2">
        <v>17</v>
      </c>
      <c r="E135" s="2">
        <v>292</v>
      </c>
      <c r="F135" s="2">
        <v>13</v>
      </c>
      <c r="G135" s="2">
        <v>29900000</v>
      </c>
      <c r="H135" s="2">
        <v>33</v>
      </c>
    </row>
    <row r="136" spans="1:8" ht="16" x14ac:dyDescent="0.2">
      <c r="A136" s="2" t="s">
        <v>316</v>
      </c>
      <c r="B136" s="2" t="s">
        <v>489</v>
      </c>
      <c r="C136" s="2">
        <v>2670</v>
      </c>
      <c r="D136" s="2">
        <v>31</v>
      </c>
      <c r="E136" s="2">
        <v>299</v>
      </c>
      <c r="F136" s="2">
        <v>17</v>
      </c>
      <c r="G136" s="2">
        <v>35000000</v>
      </c>
      <c r="H136" s="2">
        <v>35</v>
      </c>
    </row>
    <row r="137" spans="1:8" ht="16" x14ac:dyDescent="0.2">
      <c r="A137" s="2" t="s">
        <v>316</v>
      </c>
      <c r="B137" s="2" t="s">
        <v>490</v>
      </c>
      <c r="C137" s="2">
        <v>2777</v>
      </c>
      <c r="D137" s="2">
        <v>33</v>
      </c>
      <c r="E137" s="2">
        <v>308</v>
      </c>
      <c r="F137" s="2">
        <v>17</v>
      </c>
      <c r="G137" s="2">
        <v>35000000</v>
      </c>
      <c r="H137" s="2">
        <v>35</v>
      </c>
    </row>
    <row r="138" spans="1:8" ht="16" x14ac:dyDescent="0.2">
      <c r="A138" s="2" t="s">
        <v>316</v>
      </c>
      <c r="B138" s="2" t="s">
        <v>491</v>
      </c>
      <c r="C138" s="2">
        <v>2819</v>
      </c>
      <c r="D138" s="2">
        <v>34</v>
      </c>
      <c r="E138" s="2">
        <v>300</v>
      </c>
      <c r="F138" s="2">
        <v>17</v>
      </c>
      <c r="G138" s="2">
        <v>45300000</v>
      </c>
      <c r="H138" s="2">
        <v>55</v>
      </c>
    </row>
    <row r="139" spans="1:8" ht="16" x14ac:dyDescent="0.2">
      <c r="A139" s="2" t="s">
        <v>316</v>
      </c>
      <c r="B139" s="2" t="s">
        <v>492</v>
      </c>
      <c r="C139" s="2">
        <v>2839</v>
      </c>
      <c r="D139" s="2">
        <v>36</v>
      </c>
      <c r="E139" s="2">
        <v>296</v>
      </c>
      <c r="F139" s="2">
        <v>18</v>
      </c>
      <c r="G139" s="2">
        <v>50500000</v>
      </c>
      <c r="H139" s="2">
        <v>58</v>
      </c>
    </row>
    <row r="140" spans="1:8" ht="16" x14ac:dyDescent="0.2">
      <c r="A140" s="2" t="s">
        <v>316</v>
      </c>
      <c r="B140" s="2" t="s">
        <v>493</v>
      </c>
      <c r="C140" s="2">
        <v>2730</v>
      </c>
      <c r="D140" s="2">
        <v>39</v>
      </c>
      <c r="E140" s="2">
        <v>277</v>
      </c>
      <c r="F140" s="2">
        <v>19</v>
      </c>
      <c r="G140" s="2">
        <v>50500000</v>
      </c>
      <c r="H140" s="2">
        <v>66</v>
      </c>
    </row>
    <row r="141" spans="1:8" ht="16" x14ac:dyDescent="0.2">
      <c r="A141" s="2" t="s">
        <v>316</v>
      </c>
      <c r="B141" s="2" t="s">
        <v>494</v>
      </c>
      <c r="C141" s="2">
        <v>2539</v>
      </c>
      <c r="D141" s="2">
        <v>39</v>
      </c>
      <c r="E141" s="2">
        <v>237</v>
      </c>
      <c r="F141" s="2">
        <v>19</v>
      </c>
      <c r="G141" s="2">
        <v>60200000</v>
      </c>
      <c r="H141" s="2">
        <v>74</v>
      </c>
    </row>
    <row r="142" spans="1:8" ht="16" x14ac:dyDescent="0.2">
      <c r="A142" s="2" t="s">
        <v>316</v>
      </c>
      <c r="B142" s="2" t="s">
        <v>495</v>
      </c>
      <c r="C142" s="2">
        <v>2452</v>
      </c>
      <c r="D142" s="2">
        <v>39</v>
      </c>
      <c r="E142" s="2">
        <v>221</v>
      </c>
      <c r="F142" s="2">
        <v>19</v>
      </c>
      <c r="G142" s="2">
        <v>60200000</v>
      </c>
      <c r="H142" s="2">
        <v>78</v>
      </c>
    </row>
    <row r="143" spans="1:8" ht="16" x14ac:dyDescent="0.2">
      <c r="A143" s="2" t="s">
        <v>316</v>
      </c>
      <c r="B143" s="2" t="s">
        <v>496</v>
      </c>
      <c r="C143" s="2">
        <v>2053</v>
      </c>
      <c r="D143" s="2">
        <v>35</v>
      </c>
      <c r="E143" s="2">
        <v>166</v>
      </c>
      <c r="F143" s="2">
        <v>19</v>
      </c>
      <c r="G143" s="2">
        <v>68500000</v>
      </c>
      <c r="H143" s="2">
        <v>86</v>
      </c>
    </row>
    <row r="144" spans="1:8" ht="16" x14ac:dyDescent="0.2">
      <c r="A144" s="2" t="s">
        <v>316</v>
      </c>
      <c r="B144" s="2" t="s">
        <v>497</v>
      </c>
      <c r="C144" s="2">
        <v>1759</v>
      </c>
      <c r="D144" s="2">
        <v>32</v>
      </c>
      <c r="E144" s="2">
        <v>135</v>
      </c>
      <c r="F144" s="2">
        <v>8</v>
      </c>
      <c r="G144" s="2">
        <v>71900000</v>
      </c>
      <c r="H144" s="2">
        <v>88</v>
      </c>
    </row>
    <row r="145" spans="1:8" ht="16" x14ac:dyDescent="0.2">
      <c r="A145" s="2" t="s">
        <v>316</v>
      </c>
      <c r="B145" s="2" t="s">
        <v>498</v>
      </c>
      <c r="C145" s="2">
        <v>1674</v>
      </c>
      <c r="D145" s="2">
        <v>32</v>
      </c>
      <c r="E145" s="2">
        <v>125</v>
      </c>
      <c r="F145" s="2">
        <v>6</v>
      </c>
      <c r="G145" s="2">
        <v>75300000</v>
      </c>
      <c r="H145" s="2">
        <v>89</v>
      </c>
    </row>
    <row r="146" spans="1:8" ht="16" x14ac:dyDescent="0.2">
      <c r="A146" s="2" t="s">
        <v>316</v>
      </c>
      <c r="B146" s="2" t="s">
        <v>499</v>
      </c>
      <c r="C146" s="2">
        <v>1573</v>
      </c>
      <c r="D146" s="2">
        <v>31</v>
      </c>
      <c r="E146" s="2">
        <v>108</v>
      </c>
      <c r="F146" s="2">
        <v>5</v>
      </c>
      <c r="G146" s="2">
        <v>78400000</v>
      </c>
      <c r="H146" s="2">
        <v>90</v>
      </c>
    </row>
    <row r="147" spans="1:8" ht="16" x14ac:dyDescent="0.2">
      <c r="A147" s="2" t="s">
        <v>316</v>
      </c>
      <c r="B147" s="2" t="s">
        <v>500</v>
      </c>
      <c r="C147" s="2">
        <v>1315</v>
      </c>
      <c r="D147" s="2">
        <v>24</v>
      </c>
      <c r="E147" s="2">
        <v>87</v>
      </c>
      <c r="F147" s="2">
        <v>5</v>
      </c>
      <c r="G147" s="2">
        <v>81300000</v>
      </c>
      <c r="H147" s="2">
        <v>91</v>
      </c>
    </row>
    <row r="148" spans="1:8" ht="16" x14ac:dyDescent="0.2">
      <c r="A148" s="2" t="s">
        <v>316</v>
      </c>
      <c r="B148" s="2" t="s">
        <v>501</v>
      </c>
      <c r="C148" s="2">
        <v>1167</v>
      </c>
      <c r="D148" s="2">
        <v>24</v>
      </c>
      <c r="E148" s="2">
        <v>67</v>
      </c>
      <c r="F148" s="2">
        <v>3</v>
      </c>
      <c r="G148" s="2">
        <v>84300000</v>
      </c>
      <c r="H148" s="2">
        <v>91</v>
      </c>
    </row>
    <row r="149" spans="1:8" ht="16" x14ac:dyDescent="0.2">
      <c r="A149" s="2" t="s">
        <v>316</v>
      </c>
      <c r="B149" s="2" t="s">
        <v>502</v>
      </c>
      <c r="C149" s="2">
        <v>1029</v>
      </c>
      <c r="D149" s="2">
        <v>24</v>
      </c>
      <c r="E149" s="2">
        <v>59</v>
      </c>
      <c r="F149" s="2">
        <v>4</v>
      </c>
      <c r="G149" s="2">
        <v>86600000</v>
      </c>
      <c r="H149" s="2">
        <v>93</v>
      </c>
    </row>
    <row r="150" spans="1:8" ht="16" x14ac:dyDescent="0.2">
      <c r="A150" s="2" t="s">
        <v>316</v>
      </c>
      <c r="B150" s="2" t="s">
        <v>503</v>
      </c>
      <c r="C150" s="2">
        <v>892</v>
      </c>
      <c r="D150" s="2">
        <v>21</v>
      </c>
      <c r="E150" s="2">
        <v>56</v>
      </c>
      <c r="F150" s="2">
        <v>4</v>
      </c>
      <c r="G150" s="2">
        <v>88600000</v>
      </c>
      <c r="H150" s="2">
        <v>95</v>
      </c>
    </row>
    <row r="151" spans="1:8" ht="16" x14ac:dyDescent="0.2">
      <c r="A151" s="2" t="s">
        <v>316</v>
      </c>
      <c r="B151" s="2" t="s">
        <v>504</v>
      </c>
      <c r="C151" s="2">
        <v>680</v>
      </c>
      <c r="D151" s="2">
        <v>17</v>
      </c>
      <c r="E151" s="2">
        <v>23</v>
      </c>
      <c r="F151" s="2">
        <v>2</v>
      </c>
      <c r="G151" s="2">
        <v>94600000</v>
      </c>
      <c r="H151" s="2">
        <v>95</v>
      </c>
    </row>
    <row r="152" spans="1:8" ht="16" x14ac:dyDescent="0.2">
      <c r="A152" s="2" t="s">
        <v>316</v>
      </c>
      <c r="B152" s="2" t="s">
        <v>505</v>
      </c>
      <c r="C152" s="2">
        <v>364</v>
      </c>
      <c r="D152" s="2">
        <v>8</v>
      </c>
      <c r="E152" s="2">
        <v>18</v>
      </c>
      <c r="F152" s="2">
        <v>0</v>
      </c>
      <c r="G152" s="2">
        <v>94600000</v>
      </c>
      <c r="H152" s="2">
        <v>96</v>
      </c>
    </row>
    <row r="153" spans="1:8" ht="16" x14ac:dyDescent="0.2">
      <c r="A153" s="2" t="s">
        <v>316</v>
      </c>
      <c r="B153" s="2" t="s">
        <v>506</v>
      </c>
      <c r="C153" s="2">
        <v>610</v>
      </c>
      <c r="D153" s="2">
        <v>18</v>
      </c>
      <c r="E153" s="2">
        <v>30</v>
      </c>
      <c r="F153" s="2">
        <v>0</v>
      </c>
      <c r="G153" s="2">
        <v>94600000</v>
      </c>
      <c r="H153" s="2">
        <v>96</v>
      </c>
    </row>
    <row r="154" spans="1:8" ht="16" x14ac:dyDescent="0.2">
      <c r="A154" s="2" t="s">
        <v>316</v>
      </c>
      <c r="B154" s="2" t="s">
        <v>507</v>
      </c>
      <c r="C154" s="2">
        <v>504</v>
      </c>
      <c r="D154" s="2">
        <v>12</v>
      </c>
      <c r="E154" s="2">
        <v>30</v>
      </c>
      <c r="F154" s="2">
        <v>0</v>
      </c>
      <c r="G154" s="2">
        <v>94600000</v>
      </c>
      <c r="H154" s="2">
        <v>97</v>
      </c>
    </row>
    <row r="155" spans="1:8" ht="16" x14ac:dyDescent="0.2">
      <c r="A155" s="2" t="s">
        <v>316</v>
      </c>
      <c r="B155" s="2" t="s">
        <v>508</v>
      </c>
      <c r="C155" s="2">
        <v>125</v>
      </c>
      <c r="D155" s="2">
        <v>0</v>
      </c>
      <c r="E155" s="2">
        <v>5</v>
      </c>
      <c r="F155" s="2">
        <v>0</v>
      </c>
      <c r="G155" s="2">
        <v>94600000</v>
      </c>
      <c r="H155" s="2">
        <v>98</v>
      </c>
    </row>
    <row r="156" spans="1:8" ht="16" x14ac:dyDescent="0.2">
      <c r="A156" s="2" t="s">
        <v>316</v>
      </c>
      <c r="B156" s="2" t="s">
        <v>509</v>
      </c>
      <c r="C156" s="2">
        <v>98</v>
      </c>
      <c r="D156" s="2">
        <v>0</v>
      </c>
      <c r="E156" s="2">
        <v>0</v>
      </c>
      <c r="F156" s="2">
        <v>0</v>
      </c>
      <c r="G156" s="2">
        <v>94600000</v>
      </c>
      <c r="H156" s="2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4" width="18" customWidth="1"/>
    <col min="5" max="5" width="8" customWidth="1"/>
    <col min="6" max="8" width="12" customWidth="1"/>
    <col min="9" max="9" width="10" customWidth="1"/>
    <col min="10" max="10" width="9" customWidth="1"/>
    <col min="11" max="11" width="26" customWidth="1"/>
    <col min="12" max="12" width="80" customWidth="1"/>
  </cols>
  <sheetData>
    <row r="1" spans="1:12" ht="32" x14ac:dyDescent="0.2">
      <c r="A1" s="1" t="s">
        <v>272</v>
      </c>
      <c r="B1" s="1" t="s">
        <v>275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  <c r="K1" s="1" t="s">
        <v>557</v>
      </c>
      <c r="L1" s="1" t="s">
        <v>558</v>
      </c>
    </row>
    <row r="2" spans="1:12" ht="32" x14ac:dyDescent="0.2">
      <c r="A2" s="2" t="s">
        <v>298</v>
      </c>
      <c r="B2" s="2" t="s">
        <v>559</v>
      </c>
      <c r="C2" s="2" t="s">
        <v>560</v>
      </c>
      <c r="D2" s="2" t="s">
        <v>561</v>
      </c>
      <c r="E2" s="2">
        <v>18.399999999999999</v>
      </c>
      <c r="F2" s="2">
        <v>7016</v>
      </c>
      <c r="G2" s="2">
        <v>48237</v>
      </c>
      <c r="H2" s="2">
        <v>41222</v>
      </c>
      <c r="I2" s="2">
        <v>1</v>
      </c>
      <c r="J2" s="2">
        <v>1</v>
      </c>
      <c r="K2" s="2"/>
      <c r="L2" s="2" t="s">
        <v>562</v>
      </c>
    </row>
    <row r="3" spans="1:12" ht="32" x14ac:dyDescent="0.2">
      <c r="A3" s="2" t="s">
        <v>307</v>
      </c>
      <c r="B3" s="2" t="s">
        <v>559</v>
      </c>
      <c r="C3" s="2" t="s">
        <v>563</v>
      </c>
      <c r="D3" s="2" t="s">
        <v>564</v>
      </c>
      <c r="E3" s="2">
        <v>19</v>
      </c>
      <c r="F3" s="2">
        <v>70454</v>
      </c>
      <c r="G3" s="2">
        <v>109503</v>
      </c>
      <c r="H3" s="2">
        <v>39049</v>
      </c>
      <c r="I3" s="2">
        <v>1</v>
      </c>
      <c r="J3" s="2">
        <v>3</v>
      </c>
      <c r="K3" s="2" t="s">
        <v>565</v>
      </c>
      <c r="L3" s="2"/>
    </row>
    <row r="4" spans="1:12" ht="32" x14ac:dyDescent="0.2">
      <c r="A4" s="2" t="s">
        <v>276</v>
      </c>
      <c r="B4" s="2" t="s">
        <v>559</v>
      </c>
      <c r="C4" s="2" t="s">
        <v>566</v>
      </c>
      <c r="D4" s="2" t="s">
        <v>567</v>
      </c>
      <c r="E4" s="2">
        <v>24.3</v>
      </c>
      <c r="F4" s="2">
        <v>111658</v>
      </c>
      <c r="G4" s="2">
        <v>140777</v>
      </c>
      <c r="H4" s="2">
        <v>29119</v>
      </c>
      <c r="I4" s="2">
        <v>0</v>
      </c>
      <c r="J4" s="2">
        <v>1</v>
      </c>
      <c r="K4" s="2"/>
      <c r="L4" s="2"/>
    </row>
    <row r="5" spans="1:12" ht="32" x14ac:dyDescent="0.2">
      <c r="A5" s="2" t="s">
        <v>298</v>
      </c>
      <c r="B5" s="2" t="s">
        <v>559</v>
      </c>
      <c r="C5" s="2" t="s">
        <v>568</v>
      </c>
      <c r="D5" s="2" t="s">
        <v>569</v>
      </c>
      <c r="E5" s="2">
        <v>15.8</v>
      </c>
      <c r="F5" s="2">
        <v>50050</v>
      </c>
      <c r="G5" s="2">
        <v>68432</v>
      </c>
      <c r="H5" s="2">
        <v>18381</v>
      </c>
      <c r="I5" s="2">
        <v>1</v>
      </c>
      <c r="J5" s="2">
        <v>1</v>
      </c>
      <c r="K5" s="2"/>
      <c r="L5" s="2"/>
    </row>
    <row r="6" spans="1:12" ht="32" x14ac:dyDescent="0.2">
      <c r="A6" s="2" t="s">
        <v>276</v>
      </c>
      <c r="B6" s="2" t="s">
        <v>559</v>
      </c>
      <c r="C6" s="2" t="s">
        <v>567</v>
      </c>
      <c r="D6" s="2" t="s">
        <v>570</v>
      </c>
      <c r="E6" s="2">
        <v>19.600000000000001</v>
      </c>
      <c r="F6" s="2">
        <v>140777</v>
      </c>
      <c r="G6" s="2">
        <v>157393</v>
      </c>
      <c r="H6" s="2">
        <v>16615</v>
      </c>
      <c r="I6" s="2">
        <v>0</v>
      </c>
      <c r="J6" s="2">
        <v>1</v>
      </c>
      <c r="K6" s="2"/>
      <c r="L6" s="2"/>
    </row>
    <row r="7" spans="1:12" ht="32" x14ac:dyDescent="0.2">
      <c r="A7" s="2" t="s">
        <v>307</v>
      </c>
      <c r="B7" s="2" t="s">
        <v>559</v>
      </c>
      <c r="C7" s="2" t="s">
        <v>571</v>
      </c>
      <c r="D7" s="2" t="s">
        <v>572</v>
      </c>
      <c r="E7" s="2">
        <v>14.9</v>
      </c>
      <c r="F7" s="2">
        <v>128816</v>
      </c>
      <c r="G7" s="2">
        <v>145254</v>
      </c>
      <c r="H7" s="2">
        <v>16438</v>
      </c>
      <c r="I7" s="2">
        <v>1</v>
      </c>
      <c r="J7" s="2">
        <v>3</v>
      </c>
      <c r="K7" s="2"/>
      <c r="L7" s="2"/>
    </row>
    <row r="8" spans="1:12" ht="32" x14ac:dyDescent="0.2">
      <c r="A8" s="2" t="s">
        <v>276</v>
      </c>
      <c r="B8" s="2" t="s">
        <v>559</v>
      </c>
      <c r="C8" s="2" t="s">
        <v>573</v>
      </c>
      <c r="D8" s="2" t="s">
        <v>574</v>
      </c>
      <c r="E8" s="2">
        <v>17.7</v>
      </c>
      <c r="F8" s="2">
        <v>164894</v>
      </c>
      <c r="G8" s="2">
        <v>179976</v>
      </c>
      <c r="H8" s="2">
        <v>15082</v>
      </c>
      <c r="I8" s="2">
        <v>0</v>
      </c>
      <c r="J8" s="2">
        <v>0</v>
      </c>
      <c r="K8" s="2"/>
      <c r="L8" s="2"/>
    </row>
    <row r="9" spans="1:12" ht="32" x14ac:dyDescent="0.2">
      <c r="A9" s="2" t="s">
        <v>298</v>
      </c>
      <c r="B9" s="2" t="s">
        <v>559</v>
      </c>
      <c r="C9" s="2" t="s">
        <v>575</v>
      </c>
      <c r="D9" s="2" t="s">
        <v>576</v>
      </c>
      <c r="E9" s="2">
        <v>22.3</v>
      </c>
      <c r="F9" s="2">
        <v>131997</v>
      </c>
      <c r="G9" s="2">
        <v>146923</v>
      </c>
      <c r="H9" s="2">
        <v>14926</v>
      </c>
      <c r="I9" s="2">
        <v>2</v>
      </c>
      <c r="J9" s="2">
        <v>2</v>
      </c>
      <c r="K9" s="2"/>
      <c r="L9" s="2"/>
    </row>
    <row r="10" spans="1:12" ht="32" x14ac:dyDescent="0.2">
      <c r="A10" s="2" t="s">
        <v>307</v>
      </c>
      <c r="B10" s="2" t="s">
        <v>559</v>
      </c>
      <c r="C10" s="2" t="s">
        <v>577</v>
      </c>
      <c r="D10" s="2" t="s">
        <v>578</v>
      </c>
      <c r="E10" s="2">
        <v>21.6</v>
      </c>
      <c r="F10" s="2">
        <v>114866</v>
      </c>
      <c r="G10" s="2">
        <v>128799</v>
      </c>
      <c r="H10" s="2">
        <v>13933</v>
      </c>
      <c r="I10" s="2">
        <v>2</v>
      </c>
      <c r="J10" s="2">
        <v>2</v>
      </c>
      <c r="K10" s="2"/>
      <c r="L10" s="2"/>
    </row>
    <row r="11" spans="1:12" ht="32" x14ac:dyDescent="0.2">
      <c r="A11" s="2" t="s">
        <v>307</v>
      </c>
      <c r="B11" s="2" t="s">
        <v>559</v>
      </c>
      <c r="C11" s="2" t="s">
        <v>579</v>
      </c>
      <c r="D11" s="2" t="s">
        <v>580</v>
      </c>
      <c r="E11" s="2">
        <v>18.7</v>
      </c>
      <c r="F11" s="2">
        <v>136636</v>
      </c>
      <c r="G11" s="2">
        <v>149512</v>
      </c>
      <c r="H11" s="2">
        <v>12876</v>
      </c>
      <c r="I11" s="2">
        <v>1</v>
      </c>
      <c r="J11" s="2">
        <v>2</v>
      </c>
      <c r="K11" s="2"/>
      <c r="L11" s="2"/>
    </row>
    <row r="12" spans="1:12" ht="32" x14ac:dyDescent="0.2">
      <c r="A12" s="2" t="s">
        <v>276</v>
      </c>
      <c r="B12" s="2" t="s">
        <v>559</v>
      </c>
      <c r="C12" s="2" t="s">
        <v>581</v>
      </c>
      <c r="D12" s="2" t="s">
        <v>582</v>
      </c>
      <c r="E12" s="2">
        <v>24.2</v>
      </c>
      <c r="F12" s="2">
        <v>27417</v>
      </c>
      <c r="G12" s="2">
        <v>38091</v>
      </c>
      <c r="H12" s="2">
        <v>10674</v>
      </c>
      <c r="I12" s="2">
        <v>0</v>
      </c>
      <c r="J12" s="2">
        <v>1</v>
      </c>
      <c r="K12" s="2"/>
      <c r="L12" s="2"/>
    </row>
    <row r="13" spans="1:12" ht="32" x14ac:dyDescent="0.2">
      <c r="A13" s="2" t="s">
        <v>298</v>
      </c>
      <c r="B13" s="2" t="s">
        <v>559</v>
      </c>
      <c r="C13" s="2" t="s">
        <v>583</v>
      </c>
      <c r="D13" s="2" t="s">
        <v>584</v>
      </c>
      <c r="E13" s="2">
        <v>21.6</v>
      </c>
      <c r="F13" s="2">
        <v>103852</v>
      </c>
      <c r="G13" s="2">
        <v>112975</v>
      </c>
      <c r="H13" s="2">
        <v>9124</v>
      </c>
      <c r="I13" s="2">
        <v>2</v>
      </c>
      <c r="J13" s="2">
        <v>2</v>
      </c>
      <c r="K13" s="2"/>
      <c r="L13" s="2"/>
    </row>
    <row r="14" spans="1:12" ht="32" x14ac:dyDescent="0.2">
      <c r="A14" s="2" t="s">
        <v>307</v>
      </c>
      <c r="B14" s="2" t="s">
        <v>559</v>
      </c>
      <c r="C14" s="2" t="s">
        <v>585</v>
      </c>
      <c r="D14" s="2" t="s">
        <v>586</v>
      </c>
      <c r="E14" s="2">
        <v>14.5</v>
      </c>
      <c r="F14" s="2">
        <v>142807</v>
      </c>
      <c r="G14" s="2">
        <v>151575</v>
      </c>
      <c r="H14" s="2">
        <v>8768</v>
      </c>
      <c r="I14" s="2">
        <v>1</v>
      </c>
      <c r="J14" s="2">
        <v>2</v>
      </c>
      <c r="K14" s="2"/>
      <c r="L14" s="2"/>
    </row>
    <row r="15" spans="1:12" ht="32" x14ac:dyDescent="0.2">
      <c r="A15" s="2" t="s">
        <v>276</v>
      </c>
      <c r="B15" s="2" t="s">
        <v>559</v>
      </c>
      <c r="C15" s="2" t="s">
        <v>587</v>
      </c>
      <c r="D15" s="2" t="s">
        <v>581</v>
      </c>
      <c r="E15" s="2">
        <v>22.6</v>
      </c>
      <c r="F15" s="2">
        <v>18933</v>
      </c>
      <c r="G15" s="2">
        <v>27417</v>
      </c>
      <c r="H15" s="2">
        <v>8485</v>
      </c>
      <c r="I15" s="2">
        <v>0</v>
      </c>
      <c r="J15" s="2">
        <v>1</v>
      </c>
      <c r="K15" s="2"/>
      <c r="L15" s="2"/>
    </row>
    <row r="16" spans="1:12" ht="32" x14ac:dyDescent="0.2">
      <c r="A16" s="2" t="s">
        <v>298</v>
      </c>
      <c r="B16" s="2" t="s">
        <v>559</v>
      </c>
      <c r="C16" s="2" t="s">
        <v>588</v>
      </c>
      <c r="D16" s="2" t="s">
        <v>589</v>
      </c>
      <c r="E16" s="2">
        <v>20.2</v>
      </c>
      <c r="F16" s="2">
        <v>80968</v>
      </c>
      <c r="G16" s="2">
        <v>89194</v>
      </c>
      <c r="H16" s="2">
        <v>8226</v>
      </c>
      <c r="I16" s="2">
        <v>1</v>
      </c>
      <c r="J16" s="2">
        <v>3</v>
      </c>
      <c r="K16" s="2"/>
      <c r="L16" s="2"/>
    </row>
    <row r="17" spans="1:12" ht="32" x14ac:dyDescent="0.2">
      <c r="A17" s="2" t="s">
        <v>298</v>
      </c>
      <c r="B17" s="2" t="s">
        <v>559</v>
      </c>
      <c r="C17" s="2" t="s">
        <v>590</v>
      </c>
      <c r="D17" s="2" t="s">
        <v>591</v>
      </c>
      <c r="E17" s="2">
        <v>21.6</v>
      </c>
      <c r="F17" s="2">
        <v>125939</v>
      </c>
      <c r="G17" s="2">
        <v>133882</v>
      </c>
      <c r="H17" s="2">
        <v>7943</v>
      </c>
      <c r="I17" s="2">
        <v>2</v>
      </c>
      <c r="J17" s="2">
        <v>2</v>
      </c>
      <c r="K17" s="2"/>
      <c r="L17" s="2"/>
    </row>
    <row r="18" spans="1:12" ht="32" x14ac:dyDescent="0.2">
      <c r="A18" s="2" t="s">
        <v>307</v>
      </c>
      <c r="B18" s="2" t="s">
        <v>559</v>
      </c>
      <c r="C18" s="2" t="s">
        <v>592</v>
      </c>
      <c r="D18" s="2" t="s">
        <v>593</v>
      </c>
      <c r="E18" s="2">
        <v>21.6</v>
      </c>
      <c r="F18" s="2">
        <v>130394</v>
      </c>
      <c r="G18" s="2">
        <v>138127</v>
      </c>
      <c r="H18" s="2">
        <v>7733</v>
      </c>
      <c r="I18" s="2">
        <v>1</v>
      </c>
      <c r="J18" s="2">
        <v>2</v>
      </c>
      <c r="K18" s="2"/>
      <c r="L18" s="2"/>
    </row>
    <row r="19" spans="1:12" ht="32" x14ac:dyDescent="0.2">
      <c r="A19" s="2" t="s">
        <v>276</v>
      </c>
      <c r="B19" s="2" t="s">
        <v>559</v>
      </c>
      <c r="C19" s="2" t="s">
        <v>594</v>
      </c>
      <c r="D19" s="2" t="s">
        <v>595</v>
      </c>
      <c r="E19" s="2">
        <v>19</v>
      </c>
      <c r="F19" s="2">
        <v>88747</v>
      </c>
      <c r="G19" s="2">
        <v>96461</v>
      </c>
      <c r="H19" s="2">
        <v>7714</v>
      </c>
      <c r="I19" s="2">
        <v>0</v>
      </c>
      <c r="J19" s="2">
        <v>0</v>
      </c>
      <c r="K19" s="2"/>
      <c r="L19" s="2"/>
    </row>
    <row r="20" spans="1:12" ht="32" x14ac:dyDescent="0.2">
      <c r="A20" s="2" t="s">
        <v>276</v>
      </c>
      <c r="B20" s="2" t="s">
        <v>559</v>
      </c>
      <c r="C20" s="2" t="s">
        <v>570</v>
      </c>
      <c r="D20" s="2" t="s">
        <v>573</v>
      </c>
      <c r="E20" s="2">
        <v>30.2</v>
      </c>
      <c r="F20" s="2">
        <v>157393</v>
      </c>
      <c r="G20" s="2">
        <v>164894</v>
      </c>
      <c r="H20" s="2">
        <v>7501</v>
      </c>
      <c r="I20" s="2">
        <v>0</v>
      </c>
      <c r="J20" s="2">
        <v>2</v>
      </c>
      <c r="K20" s="2"/>
      <c r="L20" s="2"/>
    </row>
    <row r="21" spans="1:12" ht="32" x14ac:dyDescent="0.2">
      <c r="A21" s="2" t="s">
        <v>276</v>
      </c>
      <c r="B21" s="2" t="s">
        <v>559</v>
      </c>
      <c r="C21" s="2" t="s">
        <v>596</v>
      </c>
      <c r="D21" s="2" t="s">
        <v>597</v>
      </c>
      <c r="E21" s="2">
        <v>19.899999999999999</v>
      </c>
      <c r="F21" s="2">
        <v>42030</v>
      </c>
      <c r="G21" s="2">
        <v>48338</v>
      </c>
      <c r="H21" s="2">
        <v>6308</v>
      </c>
      <c r="I21" s="2">
        <v>0</v>
      </c>
      <c r="J21" s="2">
        <v>1</v>
      </c>
      <c r="K21" s="2"/>
      <c r="L21" s="2"/>
    </row>
    <row r="22" spans="1:12" ht="32" x14ac:dyDescent="0.2">
      <c r="A22" s="2" t="s">
        <v>276</v>
      </c>
      <c r="B22" s="2" t="s">
        <v>559</v>
      </c>
      <c r="C22" s="2" t="s">
        <v>598</v>
      </c>
      <c r="D22" s="2" t="s">
        <v>599</v>
      </c>
      <c r="E22" s="2">
        <v>30.6</v>
      </c>
      <c r="F22" s="2">
        <v>51929</v>
      </c>
      <c r="G22" s="2">
        <v>58118</v>
      </c>
      <c r="H22" s="2">
        <v>6190</v>
      </c>
      <c r="I22" s="2">
        <v>0</v>
      </c>
      <c r="J22" s="2">
        <v>2</v>
      </c>
      <c r="K22" s="2"/>
      <c r="L22" s="2"/>
    </row>
    <row r="23" spans="1:12" ht="32" x14ac:dyDescent="0.2">
      <c r="A23" s="2" t="s">
        <v>298</v>
      </c>
      <c r="B23" s="2" t="s">
        <v>559</v>
      </c>
      <c r="C23" s="2" t="s">
        <v>600</v>
      </c>
      <c r="D23" s="2" t="s">
        <v>601</v>
      </c>
      <c r="E23" s="2">
        <v>22.5</v>
      </c>
      <c r="F23" s="2">
        <v>121181</v>
      </c>
      <c r="G23" s="2">
        <v>126872</v>
      </c>
      <c r="H23" s="2">
        <v>5691</v>
      </c>
      <c r="I23" s="2">
        <v>1</v>
      </c>
      <c r="J23" s="2">
        <v>2</v>
      </c>
      <c r="K23" s="2"/>
      <c r="L23" s="2"/>
    </row>
    <row r="24" spans="1:12" ht="32" x14ac:dyDescent="0.2">
      <c r="A24" s="2" t="s">
        <v>276</v>
      </c>
      <c r="B24" s="2" t="s">
        <v>559</v>
      </c>
      <c r="C24" s="2" t="s">
        <v>602</v>
      </c>
      <c r="D24" s="2" t="s">
        <v>603</v>
      </c>
      <c r="E24" s="2">
        <v>29.7</v>
      </c>
      <c r="F24" s="2">
        <v>81442</v>
      </c>
      <c r="G24" s="2">
        <v>86022</v>
      </c>
      <c r="H24" s="2">
        <v>4580</v>
      </c>
      <c r="I24" s="2">
        <v>0</v>
      </c>
      <c r="J24" s="2">
        <v>2</v>
      </c>
      <c r="K24" s="2"/>
      <c r="L24" s="2"/>
    </row>
    <row r="25" spans="1:12" ht="32" x14ac:dyDescent="0.2">
      <c r="A25" s="2" t="s">
        <v>276</v>
      </c>
      <c r="B25" s="2" t="s">
        <v>559</v>
      </c>
      <c r="C25" s="2" t="s">
        <v>604</v>
      </c>
      <c r="D25" s="2" t="s">
        <v>605</v>
      </c>
      <c r="E25" s="2">
        <v>20</v>
      </c>
      <c r="F25" s="2">
        <v>4981</v>
      </c>
      <c r="G25" s="2">
        <v>9410</v>
      </c>
      <c r="H25" s="2">
        <v>4429</v>
      </c>
      <c r="I25" s="2">
        <v>0</v>
      </c>
      <c r="J25" s="2">
        <v>1</v>
      </c>
      <c r="K25" s="2"/>
      <c r="L25" s="2"/>
    </row>
    <row r="26" spans="1:12" ht="32" x14ac:dyDescent="0.2">
      <c r="A26" s="2" t="s">
        <v>298</v>
      </c>
      <c r="B26" s="2" t="s">
        <v>559</v>
      </c>
      <c r="C26" s="2" t="s">
        <v>606</v>
      </c>
      <c r="D26" s="2" t="s">
        <v>607</v>
      </c>
      <c r="E26" s="2">
        <v>21.2</v>
      </c>
      <c r="F26" s="2">
        <v>160172</v>
      </c>
      <c r="G26" s="2">
        <v>164541</v>
      </c>
      <c r="H26" s="2">
        <v>4369</v>
      </c>
      <c r="I26" s="2">
        <v>2</v>
      </c>
      <c r="J26" s="2">
        <v>2</v>
      </c>
      <c r="K26" s="2"/>
      <c r="L26" s="2"/>
    </row>
    <row r="27" spans="1:12" ht="32" x14ac:dyDescent="0.2">
      <c r="A27" s="2" t="s">
        <v>276</v>
      </c>
      <c r="B27" s="2" t="s">
        <v>559</v>
      </c>
      <c r="C27" s="2" t="s">
        <v>608</v>
      </c>
      <c r="D27" s="2" t="s">
        <v>609</v>
      </c>
      <c r="E27" s="2">
        <v>46.1</v>
      </c>
      <c r="F27" s="2">
        <v>66908</v>
      </c>
      <c r="G27" s="2">
        <v>71181</v>
      </c>
      <c r="H27" s="2">
        <v>4273</v>
      </c>
      <c r="I27" s="2">
        <v>0</v>
      </c>
      <c r="J27" s="2">
        <v>2</v>
      </c>
      <c r="K27" s="2"/>
      <c r="L27" s="2"/>
    </row>
    <row r="28" spans="1:12" ht="32" x14ac:dyDescent="0.2">
      <c r="A28" s="2" t="s">
        <v>298</v>
      </c>
      <c r="B28" s="2" t="s">
        <v>559</v>
      </c>
      <c r="C28" s="2" t="s">
        <v>610</v>
      </c>
      <c r="D28" s="2" t="s">
        <v>611</v>
      </c>
      <c r="E28" s="2">
        <v>24.2</v>
      </c>
      <c r="F28" s="2">
        <v>145127</v>
      </c>
      <c r="G28" s="2">
        <v>149294</v>
      </c>
      <c r="H28" s="2">
        <v>4167</v>
      </c>
      <c r="I28" s="2">
        <v>2</v>
      </c>
      <c r="J28" s="2">
        <v>2</v>
      </c>
      <c r="K28" s="2"/>
      <c r="L28" s="2"/>
    </row>
    <row r="29" spans="1:12" ht="32" x14ac:dyDescent="0.2">
      <c r="A29" s="2" t="s">
        <v>276</v>
      </c>
      <c r="B29" s="2" t="s">
        <v>559</v>
      </c>
      <c r="C29" s="2" t="s">
        <v>612</v>
      </c>
      <c r="D29" s="2" t="s">
        <v>613</v>
      </c>
      <c r="E29" s="2">
        <v>29.1</v>
      </c>
      <c r="F29" s="2">
        <v>105695</v>
      </c>
      <c r="G29" s="2">
        <v>109594</v>
      </c>
      <c r="H29" s="2">
        <v>3899</v>
      </c>
      <c r="I29" s="2">
        <v>0</v>
      </c>
      <c r="J29" s="2">
        <v>2</v>
      </c>
      <c r="K29" s="2"/>
      <c r="L29" s="2"/>
    </row>
    <row r="30" spans="1:12" ht="32" x14ac:dyDescent="0.2">
      <c r="A30" s="2" t="s">
        <v>298</v>
      </c>
      <c r="B30" s="2" t="s">
        <v>559</v>
      </c>
      <c r="C30" s="2" t="s">
        <v>614</v>
      </c>
      <c r="D30" s="2" t="s">
        <v>615</v>
      </c>
      <c r="E30" s="2">
        <v>16.399999999999999</v>
      </c>
      <c r="F30" s="2">
        <v>3099</v>
      </c>
      <c r="G30" s="2">
        <v>6834</v>
      </c>
      <c r="H30" s="2">
        <v>3736</v>
      </c>
      <c r="I30" s="2">
        <v>2</v>
      </c>
      <c r="J30" s="2">
        <v>2</v>
      </c>
      <c r="K30" s="2"/>
      <c r="L30" s="2" t="s">
        <v>616</v>
      </c>
    </row>
    <row r="31" spans="1:12" ht="32" x14ac:dyDescent="0.2">
      <c r="A31" s="2" t="s">
        <v>276</v>
      </c>
      <c r="B31" s="2" t="s">
        <v>559</v>
      </c>
      <c r="C31" s="2" t="s">
        <v>617</v>
      </c>
      <c r="D31" s="2" t="s">
        <v>618</v>
      </c>
      <c r="E31" s="2">
        <v>18.600000000000001</v>
      </c>
      <c r="F31" s="2">
        <v>73349</v>
      </c>
      <c r="G31" s="2">
        <v>76971</v>
      </c>
      <c r="H31" s="2">
        <v>3622</v>
      </c>
      <c r="I31" s="2">
        <v>0</v>
      </c>
      <c r="J31" s="2">
        <v>0</v>
      </c>
      <c r="K31" s="2"/>
      <c r="L31" s="2"/>
    </row>
    <row r="32" spans="1:12" ht="32" x14ac:dyDescent="0.2">
      <c r="A32" s="2" t="s">
        <v>298</v>
      </c>
      <c r="B32" s="2" t="s">
        <v>559</v>
      </c>
      <c r="C32" s="2" t="s">
        <v>619</v>
      </c>
      <c r="D32" s="2" t="s">
        <v>620</v>
      </c>
      <c r="E32" s="2">
        <v>24.5</v>
      </c>
      <c r="F32" s="2">
        <v>164116</v>
      </c>
      <c r="G32" s="2">
        <v>167530</v>
      </c>
      <c r="H32" s="2">
        <v>3414</v>
      </c>
      <c r="I32" s="2">
        <v>2</v>
      </c>
      <c r="J32" s="2">
        <v>2</v>
      </c>
      <c r="K32" s="2"/>
      <c r="L32" s="2"/>
    </row>
    <row r="33" spans="1:12" ht="32" x14ac:dyDescent="0.2">
      <c r="A33" s="2" t="s">
        <v>276</v>
      </c>
      <c r="B33" s="2" t="s">
        <v>559</v>
      </c>
      <c r="C33" s="2" t="s">
        <v>621</v>
      </c>
      <c r="D33" s="2" t="s">
        <v>622</v>
      </c>
      <c r="E33" s="2">
        <v>19.8</v>
      </c>
      <c r="F33" s="2">
        <v>77012</v>
      </c>
      <c r="G33" s="2">
        <v>80362</v>
      </c>
      <c r="H33" s="2">
        <v>3350</v>
      </c>
      <c r="I33" s="2">
        <v>0</v>
      </c>
      <c r="J33" s="2">
        <v>1</v>
      </c>
      <c r="K33" s="2"/>
      <c r="L33" s="2"/>
    </row>
    <row r="34" spans="1:12" ht="32" x14ac:dyDescent="0.2">
      <c r="A34" s="2" t="s">
        <v>276</v>
      </c>
      <c r="B34" s="2" t="s">
        <v>559</v>
      </c>
      <c r="C34" s="2" t="s">
        <v>623</v>
      </c>
      <c r="D34" s="2" t="s">
        <v>624</v>
      </c>
      <c r="E34" s="2">
        <v>21.4</v>
      </c>
      <c r="F34" s="2">
        <v>12869</v>
      </c>
      <c r="G34" s="2">
        <v>16204</v>
      </c>
      <c r="H34" s="2">
        <v>3335</v>
      </c>
      <c r="I34" s="2">
        <v>0</v>
      </c>
      <c r="J34" s="2">
        <v>0</v>
      </c>
      <c r="K34" s="2"/>
      <c r="L34" s="2"/>
    </row>
    <row r="35" spans="1:12" ht="32" x14ac:dyDescent="0.2">
      <c r="A35" s="2" t="s">
        <v>307</v>
      </c>
      <c r="B35" s="2" t="s">
        <v>559</v>
      </c>
      <c r="C35" s="2" t="s">
        <v>625</v>
      </c>
      <c r="D35" s="2" t="s">
        <v>577</v>
      </c>
      <c r="E35" s="2">
        <v>20.100000000000001</v>
      </c>
      <c r="F35" s="2">
        <v>111552</v>
      </c>
      <c r="G35" s="2">
        <v>114866</v>
      </c>
      <c r="H35" s="2">
        <v>3314</v>
      </c>
      <c r="I35" s="2">
        <v>1</v>
      </c>
      <c r="J35" s="2">
        <v>2</v>
      </c>
      <c r="K35" s="2"/>
      <c r="L35" s="2"/>
    </row>
    <row r="36" spans="1:12" ht="32" x14ac:dyDescent="0.2">
      <c r="A36" s="2" t="s">
        <v>276</v>
      </c>
      <c r="B36" s="2" t="s">
        <v>559</v>
      </c>
      <c r="C36" s="2" t="s">
        <v>599</v>
      </c>
      <c r="D36" s="2" t="s">
        <v>626</v>
      </c>
      <c r="E36" s="2">
        <v>22.6</v>
      </c>
      <c r="F36" s="2">
        <v>58118</v>
      </c>
      <c r="G36" s="2">
        <v>60872</v>
      </c>
      <c r="H36" s="2">
        <v>2754</v>
      </c>
      <c r="I36" s="2">
        <v>0</v>
      </c>
      <c r="J36" s="2">
        <v>0</v>
      </c>
      <c r="K36" s="2"/>
      <c r="L36" s="2"/>
    </row>
    <row r="37" spans="1:12" ht="32" x14ac:dyDescent="0.2">
      <c r="A37" s="2" t="s">
        <v>298</v>
      </c>
      <c r="B37" s="2" t="s">
        <v>559</v>
      </c>
      <c r="C37" s="2" t="s">
        <v>627</v>
      </c>
      <c r="D37" s="2" t="s">
        <v>628</v>
      </c>
      <c r="E37" s="2">
        <v>22.2</v>
      </c>
      <c r="F37" s="2">
        <v>178752</v>
      </c>
      <c r="G37" s="2">
        <v>181496</v>
      </c>
      <c r="H37" s="2">
        <v>2744</v>
      </c>
      <c r="I37" s="2">
        <v>2</v>
      </c>
      <c r="J37" s="2">
        <v>2</v>
      </c>
      <c r="K37" s="2"/>
      <c r="L37" s="2"/>
    </row>
    <row r="38" spans="1:12" ht="32" x14ac:dyDescent="0.2">
      <c r="A38" s="2" t="s">
        <v>276</v>
      </c>
      <c r="B38" s="2" t="s">
        <v>559</v>
      </c>
      <c r="C38" s="2" t="s">
        <v>624</v>
      </c>
      <c r="D38" s="2" t="s">
        <v>587</v>
      </c>
      <c r="E38" s="2">
        <v>25.4</v>
      </c>
      <c r="F38" s="2">
        <v>16204</v>
      </c>
      <c r="G38" s="2">
        <v>18933</v>
      </c>
      <c r="H38" s="2">
        <v>2729</v>
      </c>
      <c r="I38" s="2">
        <v>0</v>
      </c>
      <c r="J38" s="2">
        <v>1</v>
      </c>
      <c r="K38" s="2"/>
      <c r="L38" s="2"/>
    </row>
    <row r="39" spans="1:12" ht="32" x14ac:dyDescent="0.2">
      <c r="A39" s="2" t="s">
        <v>298</v>
      </c>
      <c r="B39" s="2" t="s">
        <v>559</v>
      </c>
      <c r="C39" s="2" t="s">
        <v>629</v>
      </c>
      <c r="D39" s="2" t="s">
        <v>630</v>
      </c>
      <c r="E39" s="2">
        <v>20.3</v>
      </c>
      <c r="F39" s="2">
        <v>183633</v>
      </c>
      <c r="G39" s="2">
        <v>186285</v>
      </c>
      <c r="H39" s="2">
        <v>2652</v>
      </c>
      <c r="I39" s="2">
        <v>1</v>
      </c>
      <c r="J39" s="2">
        <v>2</v>
      </c>
      <c r="K39" s="2"/>
      <c r="L39" s="2"/>
    </row>
    <row r="40" spans="1:12" ht="32" x14ac:dyDescent="0.2">
      <c r="A40" s="2" t="s">
        <v>298</v>
      </c>
      <c r="B40" s="2" t="s">
        <v>559</v>
      </c>
      <c r="C40" s="2" t="s">
        <v>631</v>
      </c>
      <c r="D40" s="2" t="s">
        <v>632</v>
      </c>
      <c r="E40" s="2">
        <v>24</v>
      </c>
      <c r="F40" s="2">
        <v>227098</v>
      </c>
      <c r="G40" s="2">
        <v>229651</v>
      </c>
      <c r="H40" s="2">
        <v>2553</v>
      </c>
      <c r="I40" s="2">
        <v>2</v>
      </c>
      <c r="J40" s="2">
        <v>2</v>
      </c>
      <c r="K40" s="2"/>
      <c r="L40" s="2" t="s">
        <v>633</v>
      </c>
    </row>
    <row r="41" spans="1:12" ht="32" x14ac:dyDescent="0.2">
      <c r="A41" s="2" t="s">
        <v>276</v>
      </c>
      <c r="B41" s="2" t="s">
        <v>559</v>
      </c>
      <c r="C41" s="2" t="s">
        <v>626</v>
      </c>
      <c r="D41" s="2" t="s">
        <v>634</v>
      </c>
      <c r="E41" s="2">
        <v>22.2</v>
      </c>
      <c r="F41" s="2">
        <v>60872</v>
      </c>
      <c r="G41" s="2">
        <v>63353</v>
      </c>
      <c r="H41" s="2">
        <v>2480</v>
      </c>
      <c r="I41" s="2">
        <v>0</v>
      </c>
      <c r="J41" s="2">
        <v>1</v>
      </c>
      <c r="K41" s="2"/>
      <c r="L41" s="2"/>
    </row>
    <row r="42" spans="1:12" ht="32" x14ac:dyDescent="0.2">
      <c r="A42" s="2" t="s">
        <v>307</v>
      </c>
      <c r="B42" s="2" t="s">
        <v>559</v>
      </c>
      <c r="C42" s="2" t="s">
        <v>635</v>
      </c>
      <c r="D42" s="2" t="s">
        <v>636</v>
      </c>
      <c r="E42" s="2">
        <v>17.100000000000001</v>
      </c>
      <c r="F42" s="2">
        <v>148238</v>
      </c>
      <c r="G42" s="2">
        <v>150690</v>
      </c>
      <c r="H42" s="2">
        <v>2452</v>
      </c>
      <c r="I42" s="2">
        <v>1</v>
      </c>
      <c r="J42" s="2">
        <v>2</v>
      </c>
      <c r="K42" s="2"/>
      <c r="L42" s="2"/>
    </row>
    <row r="43" spans="1:12" ht="32" x14ac:dyDescent="0.2">
      <c r="A43" s="2" t="s">
        <v>276</v>
      </c>
      <c r="B43" s="2" t="s">
        <v>559</v>
      </c>
      <c r="C43" s="2" t="s">
        <v>609</v>
      </c>
      <c r="D43" s="2" t="s">
        <v>617</v>
      </c>
      <c r="E43" s="2">
        <v>27.9</v>
      </c>
      <c r="F43" s="2">
        <v>71181</v>
      </c>
      <c r="G43" s="2">
        <v>73349</v>
      </c>
      <c r="H43" s="2">
        <v>2168</v>
      </c>
      <c r="I43" s="2">
        <v>0</v>
      </c>
      <c r="J43" s="2">
        <v>2</v>
      </c>
      <c r="K43" s="2"/>
      <c r="L43" s="2"/>
    </row>
    <row r="44" spans="1:12" ht="32" x14ac:dyDescent="0.2">
      <c r="A44" s="2" t="s">
        <v>276</v>
      </c>
      <c r="B44" s="2" t="s">
        <v>559</v>
      </c>
      <c r="C44" s="2" t="s">
        <v>613</v>
      </c>
      <c r="D44" s="2" t="s">
        <v>637</v>
      </c>
      <c r="E44" s="2">
        <v>21.7</v>
      </c>
      <c r="F44" s="2">
        <v>109594</v>
      </c>
      <c r="G44" s="2">
        <v>111604</v>
      </c>
      <c r="H44" s="2">
        <v>2010</v>
      </c>
      <c r="I44" s="2">
        <v>0</v>
      </c>
      <c r="J44" s="2">
        <v>0</v>
      </c>
      <c r="K44" s="2"/>
      <c r="L44" s="2"/>
    </row>
    <row r="45" spans="1:12" ht="32" x14ac:dyDescent="0.2">
      <c r="A45" s="2" t="s">
        <v>276</v>
      </c>
      <c r="B45" s="2" t="s">
        <v>559</v>
      </c>
      <c r="C45" s="2" t="s">
        <v>638</v>
      </c>
      <c r="D45" s="2" t="s">
        <v>639</v>
      </c>
      <c r="E45" s="2">
        <v>19</v>
      </c>
      <c r="F45" s="2">
        <v>186401</v>
      </c>
      <c r="G45" s="2">
        <v>188380</v>
      </c>
      <c r="H45" s="2">
        <v>1979</v>
      </c>
      <c r="I45" s="2">
        <v>0</v>
      </c>
      <c r="J45" s="2">
        <v>0</v>
      </c>
      <c r="K45" s="2"/>
      <c r="L45" s="2"/>
    </row>
    <row r="46" spans="1:12" ht="32" x14ac:dyDescent="0.2">
      <c r="A46" s="2" t="s">
        <v>307</v>
      </c>
      <c r="B46" s="2" t="s">
        <v>559</v>
      </c>
      <c r="C46" s="2" t="s">
        <v>640</v>
      </c>
      <c r="D46" s="2" t="s">
        <v>641</v>
      </c>
      <c r="E46" s="2">
        <v>19.3</v>
      </c>
      <c r="F46" s="2">
        <v>151515</v>
      </c>
      <c r="G46" s="2">
        <v>153438</v>
      </c>
      <c r="H46" s="2">
        <v>1923</v>
      </c>
      <c r="I46" s="2">
        <v>2</v>
      </c>
      <c r="J46" s="2">
        <v>2</v>
      </c>
      <c r="K46" s="2"/>
      <c r="L46" s="2"/>
    </row>
    <row r="47" spans="1:12" ht="32" x14ac:dyDescent="0.2">
      <c r="A47" s="2" t="s">
        <v>276</v>
      </c>
      <c r="B47" s="2" t="s">
        <v>559</v>
      </c>
      <c r="C47" s="2" t="s">
        <v>642</v>
      </c>
      <c r="D47" s="2" t="s">
        <v>643</v>
      </c>
      <c r="E47" s="2">
        <v>25.6</v>
      </c>
      <c r="F47" s="2">
        <v>184456</v>
      </c>
      <c r="G47" s="2">
        <v>186347</v>
      </c>
      <c r="H47" s="2">
        <v>1891</v>
      </c>
      <c r="I47" s="2">
        <v>0</v>
      </c>
      <c r="J47" s="2">
        <v>1</v>
      </c>
      <c r="K47" s="2"/>
      <c r="L47" s="2"/>
    </row>
    <row r="48" spans="1:12" ht="32" x14ac:dyDescent="0.2">
      <c r="A48" s="2" t="s">
        <v>298</v>
      </c>
      <c r="B48" s="2" t="s">
        <v>559</v>
      </c>
      <c r="C48" s="2" t="s">
        <v>644</v>
      </c>
      <c r="D48" s="2" t="s">
        <v>645</v>
      </c>
      <c r="E48" s="2">
        <v>23.5</v>
      </c>
      <c r="F48" s="2">
        <v>95442</v>
      </c>
      <c r="G48" s="2">
        <v>97239</v>
      </c>
      <c r="H48" s="2">
        <v>1797</v>
      </c>
      <c r="I48" s="2">
        <v>2</v>
      </c>
      <c r="J48" s="2">
        <v>2</v>
      </c>
      <c r="K48" s="2"/>
      <c r="L48" s="2"/>
    </row>
    <row r="49" spans="1:12" ht="32" x14ac:dyDescent="0.2">
      <c r="A49" s="2" t="s">
        <v>276</v>
      </c>
      <c r="B49" s="2" t="s">
        <v>559</v>
      </c>
      <c r="C49" s="2" t="s">
        <v>603</v>
      </c>
      <c r="D49" s="2" t="s">
        <v>646</v>
      </c>
      <c r="E49" s="2">
        <v>18.100000000000001</v>
      </c>
      <c r="F49" s="2">
        <v>86022</v>
      </c>
      <c r="G49" s="2">
        <v>87810</v>
      </c>
      <c r="H49" s="2">
        <v>1788</v>
      </c>
      <c r="I49" s="2">
        <v>0</v>
      </c>
      <c r="J49" s="2">
        <v>0</v>
      </c>
      <c r="K49" s="2"/>
      <c r="L49" s="2"/>
    </row>
    <row r="50" spans="1:12" ht="32" x14ac:dyDescent="0.2">
      <c r="A50" s="2" t="s">
        <v>276</v>
      </c>
      <c r="B50" s="2" t="s">
        <v>559</v>
      </c>
      <c r="C50" s="2" t="s">
        <v>647</v>
      </c>
      <c r="D50" s="2" t="s">
        <v>648</v>
      </c>
      <c r="E50" s="2">
        <v>22.2</v>
      </c>
      <c r="F50" s="2">
        <v>65276</v>
      </c>
      <c r="G50" s="2">
        <v>66875</v>
      </c>
      <c r="H50" s="2">
        <v>1599</v>
      </c>
      <c r="I50" s="2">
        <v>0</v>
      </c>
      <c r="J50" s="2">
        <v>1</v>
      </c>
      <c r="K50" s="2"/>
      <c r="L50" s="2"/>
    </row>
    <row r="51" spans="1:12" ht="32" x14ac:dyDescent="0.2">
      <c r="A51" s="2" t="s">
        <v>276</v>
      </c>
      <c r="B51" s="2" t="s">
        <v>559</v>
      </c>
      <c r="C51" s="2" t="s">
        <v>649</v>
      </c>
      <c r="D51" s="2" t="s">
        <v>650</v>
      </c>
      <c r="E51" s="2">
        <v>36.5</v>
      </c>
      <c r="F51" s="2">
        <v>518</v>
      </c>
      <c r="G51" s="2">
        <v>2004</v>
      </c>
      <c r="H51" s="2">
        <v>1487</v>
      </c>
      <c r="I51" s="2">
        <v>0</v>
      </c>
      <c r="J51" s="2">
        <v>1</v>
      </c>
      <c r="K51" s="2"/>
      <c r="L51" s="2"/>
    </row>
    <row r="52" spans="1:12" ht="32" x14ac:dyDescent="0.2">
      <c r="A52" s="2" t="s">
        <v>276</v>
      </c>
      <c r="B52" s="2" t="s">
        <v>559</v>
      </c>
      <c r="C52" s="2" t="s">
        <v>651</v>
      </c>
      <c r="D52" s="2" t="s">
        <v>652</v>
      </c>
      <c r="E52" s="2">
        <v>23.2</v>
      </c>
      <c r="F52" s="2">
        <v>102796</v>
      </c>
      <c r="G52" s="2">
        <v>104261</v>
      </c>
      <c r="H52" s="2">
        <v>1465</v>
      </c>
      <c r="I52" s="2">
        <v>0</v>
      </c>
      <c r="J52" s="2">
        <v>1</v>
      </c>
      <c r="K52" s="2"/>
      <c r="L52" s="2"/>
    </row>
    <row r="53" spans="1:12" ht="32" x14ac:dyDescent="0.2">
      <c r="A53" s="2" t="s">
        <v>298</v>
      </c>
      <c r="B53" s="2" t="s">
        <v>559</v>
      </c>
      <c r="C53" s="2" t="s">
        <v>653</v>
      </c>
      <c r="D53" s="2" t="s">
        <v>654</v>
      </c>
      <c r="E53" s="2">
        <v>17.399999999999999</v>
      </c>
      <c r="F53" s="2">
        <v>114149</v>
      </c>
      <c r="G53" s="2">
        <v>115533</v>
      </c>
      <c r="H53" s="2">
        <v>1384</v>
      </c>
      <c r="I53" s="2">
        <v>1</v>
      </c>
      <c r="J53" s="2">
        <v>1</v>
      </c>
      <c r="K53" s="2"/>
      <c r="L53" s="2"/>
    </row>
    <row r="54" spans="1:12" ht="32" x14ac:dyDescent="0.2">
      <c r="A54" s="2" t="s">
        <v>276</v>
      </c>
      <c r="B54" s="2" t="s">
        <v>559</v>
      </c>
      <c r="C54" s="2" t="s">
        <v>655</v>
      </c>
      <c r="D54" s="2" t="s">
        <v>612</v>
      </c>
      <c r="E54" s="2">
        <v>19.5</v>
      </c>
      <c r="F54" s="2">
        <v>104313</v>
      </c>
      <c r="G54" s="2">
        <v>105695</v>
      </c>
      <c r="H54" s="2">
        <v>1383</v>
      </c>
      <c r="I54" s="2">
        <v>0</v>
      </c>
      <c r="J54" s="2">
        <v>1</v>
      </c>
      <c r="K54" s="2"/>
      <c r="L54" s="2"/>
    </row>
    <row r="55" spans="1:12" ht="32" x14ac:dyDescent="0.2">
      <c r="A55" s="2" t="s">
        <v>298</v>
      </c>
      <c r="B55" s="2" t="s">
        <v>559</v>
      </c>
      <c r="C55" s="2" t="s">
        <v>656</v>
      </c>
      <c r="D55" s="2" t="s">
        <v>657</v>
      </c>
      <c r="E55" s="2">
        <v>22.8</v>
      </c>
      <c r="F55" s="2">
        <v>176070</v>
      </c>
      <c r="G55" s="2">
        <v>177450</v>
      </c>
      <c r="H55" s="2">
        <v>1381</v>
      </c>
      <c r="I55" s="2">
        <v>2</v>
      </c>
      <c r="J55" s="2">
        <v>2</v>
      </c>
      <c r="K55" s="2"/>
      <c r="L55" s="2"/>
    </row>
    <row r="56" spans="1:12" ht="32" x14ac:dyDescent="0.2">
      <c r="A56" s="2" t="s">
        <v>298</v>
      </c>
      <c r="B56" s="2" t="s">
        <v>559</v>
      </c>
      <c r="C56" s="2" t="s">
        <v>658</v>
      </c>
      <c r="D56" s="2" t="s">
        <v>659</v>
      </c>
      <c r="E56" s="2">
        <v>21.3</v>
      </c>
      <c r="F56" s="2">
        <v>201680</v>
      </c>
      <c r="G56" s="2">
        <v>202976</v>
      </c>
      <c r="H56" s="2">
        <v>1295</v>
      </c>
      <c r="I56" s="2">
        <v>2</v>
      </c>
      <c r="J56" s="2">
        <v>3</v>
      </c>
      <c r="K56" s="2"/>
      <c r="L56" s="2"/>
    </row>
    <row r="57" spans="1:12" ht="32" x14ac:dyDescent="0.2">
      <c r="A57" s="2" t="s">
        <v>307</v>
      </c>
      <c r="B57" s="2" t="s">
        <v>559</v>
      </c>
      <c r="C57" s="2" t="s">
        <v>660</v>
      </c>
      <c r="D57" s="2" t="s">
        <v>661</v>
      </c>
      <c r="E57" s="2">
        <v>20.399999999999999</v>
      </c>
      <c r="F57" s="2">
        <v>151472</v>
      </c>
      <c r="G57" s="2">
        <v>152761</v>
      </c>
      <c r="H57" s="2">
        <v>1289</v>
      </c>
      <c r="I57" s="2">
        <v>2</v>
      </c>
      <c r="J57" s="2">
        <v>2</v>
      </c>
      <c r="K57" s="2"/>
      <c r="L57" s="2"/>
    </row>
    <row r="58" spans="1:12" ht="32" x14ac:dyDescent="0.2">
      <c r="A58" s="2" t="s">
        <v>276</v>
      </c>
      <c r="B58" s="2" t="s">
        <v>559</v>
      </c>
      <c r="C58" s="2" t="s">
        <v>650</v>
      </c>
      <c r="D58" s="2" t="s">
        <v>662</v>
      </c>
      <c r="E58" s="2">
        <v>26.5</v>
      </c>
      <c r="F58" s="2">
        <v>2004</v>
      </c>
      <c r="G58" s="2">
        <v>3168</v>
      </c>
      <c r="H58" s="2">
        <v>1164</v>
      </c>
      <c r="I58" s="2">
        <v>0</v>
      </c>
      <c r="J58" s="2">
        <v>1</v>
      </c>
      <c r="K58" s="2"/>
      <c r="L58" s="2"/>
    </row>
    <row r="59" spans="1:12" ht="32" x14ac:dyDescent="0.2">
      <c r="A59" s="2" t="s">
        <v>276</v>
      </c>
      <c r="B59" s="2" t="s">
        <v>559</v>
      </c>
      <c r="C59" s="2" t="s">
        <v>622</v>
      </c>
      <c r="D59" s="2" t="s">
        <v>602</v>
      </c>
      <c r="E59" s="2">
        <v>18.100000000000001</v>
      </c>
      <c r="F59" s="2">
        <v>80362</v>
      </c>
      <c r="G59" s="2">
        <v>81442</v>
      </c>
      <c r="H59" s="2">
        <v>1080</v>
      </c>
      <c r="I59" s="2">
        <v>0</v>
      </c>
      <c r="J59" s="2">
        <v>0</v>
      </c>
      <c r="K59" s="2"/>
      <c r="L59" s="2"/>
    </row>
    <row r="60" spans="1:12" ht="32" x14ac:dyDescent="0.2">
      <c r="A60" s="2" t="s">
        <v>276</v>
      </c>
      <c r="B60" s="2" t="s">
        <v>559</v>
      </c>
      <c r="C60" s="2" t="s">
        <v>634</v>
      </c>
      <c r="D60" s="2" t="s">
        <v>663</v>
      </c>
      <c r="E60" s="2">
        <v>27.4</v>
      </c>
      <c r="F60" s="2">
        <v>63353</v>
      </c>
      <c r="G60" s="2">
        <v>64342</v>
      </c>
      <c r="H60" s="2">
        <v>990</v>
      </c>
      <c r="I60" s="2">
        <v>0</v>
      </c>
      <c r="J60" s="2">
        <v>2</v>
      </c>
      <c r="K60" s="2"/>
      <c r="L60" s="2"/>
    </row>
    <row r="61" spans="1:12" ht="32" x14ac:dyDescent="0.2">
      <c r="A61" s="2" t="s">
        <v>276</v>
      </c>
      <c r="B61" s="2" t="s">
        <v>559</v>
      </c>
      <c r="C61" s="2" t="s">
        <v>646</v>
      </c>
      <c r="D61" s="2" t="s">
        <v>594</v>
      </c>
      <c r="E61" s="2">
        <v>29.1</v>
      </c>
      <c r="F61" s="2">
        <v>87810</v>
      </c>
      <c r="G61" s="2">
        <v>88747</v>
      </c>
      <c r="H61" s="2">
        <v>938</v>
      </c>
      <c r="I61" s="2">
        <v>0</v>
      </c>
      <c r="J61" s="2">
        <v>2</v>
      </c>
      <c r="K61" s="2"/>
      <c r="L61" s="2"/>
    </row>
    <row r="62" spans="1:12" ht="32" x14ac:dyDescent="0.2">
      <c r="A62" s="2" t="s">
        <v>276</v>
      </c>
      <c r="B62" s="2" t="s">
        <v>559</v>
      </c>
      <c r="C62" s="2" t="s">
        <v>664</v>
      </c>
      <c r="D62" s="2" t="s">
        <v>665</v>
      </c>
      <c r="E62" s="2">
        <v>23.9</v>
      </c>
      <c r="F62" s="2">
        <v>181574</v>
      </c>
      <c r="G62" s="2">
        <v>182445</v>
      </c>
      <c r="H62" s="2">
        <v>872</v>
      </c>
      <c r="I62" s="2">
        <v>0</v>
      </c>
      <c r="J62" s="2">
        <v>1</v>
      </c>
      <c r="K62" s="2"/>
      <c r="L62" s="2"/>
    </row>
    <row r="63" spans="1:12" ht="32" x14ac:dyDescent="0.2">
      <c r="A63" s="2" t="s">
        <v>276</v>
      </c>
      <c r="B63" s="2" t="s">
        <v>559</v>
      </c>
      <c r="C63" s="2" t="s">
        <v>666</v>
      </c>
      <c r="D63" s="2" t="s">
        <v>667</v>
      </c>
      <c r="E63" s="2">
        <v>23.9</v>
      </c>
      <c r="F63" s="2">
        <v>181661</v>
      </c>
      <c r="G63" s="2">
        <v>182532</v>
      </c>
      <c r="H63" s="2">
        <v>872</v>
      </c>
      <c r="I63" s="2">
        <v>0</v>
      </c>
      <c r="J63" s="2">
        <v>1</v>
      </c>
      <c r="K63" s="2"/>
      <c r="L63" s="2"/>
    </row>
    <row r="64" spans="1:12" ht="32" x14ac:dyDescent="0.2">
      <c r="A64" s="2" t="s">
        <v>276</v>
      </c>
      <c r="B64" s="2" t="s">
        <v>559</v>
      </c>
      <c r="C64" s="2" t="s">
        <v>668</v>
      </c>
      <c r="D64" s="2" t="s">
        <v>669</v>
      </c>
      <c r="E64" s="2">
        <v>16</v>
      </c>
      <c r="F64" s="2">
        <v>180063</v>
      </c>
      <c r="G64" s="2">
        <v>180932</v>
      </c>
      <c r="H64" s="2">
        <v>870</v>
      </c>
      <c r="I64" s="2">
        <v>0</v>
      </c>
      <c r="J64" s="2">
        <v>1</v>
      </c>
      <c r="K64" s="2"/>
      <c r="L64" s="2"/>
    </row>
    <row r="65" spans="1:12" ht="32" x14ac:dyDescent="0.2">
      <c r="A65" s="2" t="s">
        <v>276</v>
      </c>
      <c r="B65" s="2" t="s">
        <v>559</v>
      </c>
      <c r="C65" s="2" t="s">
        <v>670</v>
      </c>
      <c r="D65" s="2" t="s">
        <v>671</v>
      </c>
      <c r="E65" s="2">
        <v>23.3</v>
      </c>
      <c r="F65" s="2">
        <v>183505</v>
      </c>
      <c r="G65" s="2">
        <v>184367</v>
      </c>
      <c r="H65" s="2">
        <v>862</v>
      </c>
      <c r="I65" s="2">
        <v>1</v>
      </c>
      <c r="J65" s="2">
        <v>0</v>
      </c>
      <c r="K65" s="2"/>
      <c r="L65" s="2"/>
    </row>
    <row r="66" spans="1:12" ht="32" x14ac:dyDescent="0.2">
      <c r="A66" s="2" t="s">
        <v>307</v>
      </c>
      <c r="B66" s="2" t="s">
        <v>559</v>
      </c>
      <c r="C66" s="2" t="s">
        <v>672</v>
      </c>
      <c r="D66" s="2" t="s">
        <v>673</v>
      </c>
      <c r="E66" s="2">
        <v>17.899999999999999</v>
      </c>
      <c r="F66" s="2">
        <v>150628</v>
      </c>
      <c r="G66" s="2">
        <v>151429</v>
      </c>
      <c r="H66" s="2">
        <v>800</v>
      </c>
      <c r="I66" s="2">
        <v>2</v>
      </c>
      <c r="J66" s="2">
        <v>2</v>
      </c>
      <c r="K66" s="2"/>
      <c r="L66" s="2"/>
    </row>
    <row r="67" spans="1:12" ht="32" x14ac:dyDescent="0.2">
      <c r="A67" s="2" t="s">
        <v>276</v>
      </c>
      <c r="B67" s="2" t="s">
        <v>559</v>
      </c>
      <c r="C67" s="2" t="s">
        <v>674</v>
      </c>
      <c r="D67" s="2" t="s">
        <v>675</v>
      </c>
      <c r="E67" s="2">
        <v>23</v>
      </c>
      <c r="F67" s="2">
        <v>101973</v>
      </c>
      <c r="G67" s="2">
        <v>102745</v>
      </c>
      <c r="H67" s="2">
        <v>773</v>
      </c>
      <c r="I67" s="2">
        <v>0</v>
      </c>
      <c r="J67" s="2">
        <v>1</v>
      </c>
      <c r="K67" s="2"/>
      <c r="L67" s="2"/>
    </row>
    <row r="68" spans="1:12" ht="32" x14ac:dyDescent="0.2">
      <c r="A68" s="2" t="s">
        <v>276</v>
      </c>
      <c r="B68" s="2" t="s">
        <v>559</v>
      </c>
      <c r="C68" s="2" t="s">
        <v>676</v>
      </c>
      <c r="D68" s="2" t="s">
        <v>677</v>
      </c>
      <c r="E68" s="2">
        <v>13.3</v>
      </c>
      <c r="F68" s="2">
        <v>4229</v>
      </c>
      <c r="G68" s="2">
        <v>4971</v>
      </c>
      <c r="H68" s="2">
        <v>742</v>
      </c>
      <c r="I68" s="2">
        <v>0</v>
      </c>
      <c r="J68" s="2">
        <v>0</v>
      </c>
      <c r="K68" s="2"/>
      <c r="L68" s="2"/>
    </row>
    <row r="69" spans="1:12" ht="32" x14ac:dyDescent="0.2">
      <c r="A69" s="2" t="s">
        <v>307</v>
      </c>
      <c r="B69" s="2" t="s">
        <v>559</v>
      </c>
      <c r="C69" s="2" t="s">
        <v>678</v>
      </c>
      <c r="D69" s="2" t="s">
        <v>679</v>
      </c>
      <c r="E69" s="2">
        <v>25</v>
      </c>
      <c r="F69" s="2">
        <v>152688</v>
      </c>
      <c r="G69" s="2">
        <v>153336</v>
      </c>
      <c r="H69" s="2">
        <v>648</v>
      </c>
      <c r="I69" s="2">
        <v>2</v>
      </c>
      <c r="J69" s="2">
        <v>2</v>
      </c>
      <c r="K69" s="2"/>
      <c r="L69" s="2"/>
    </row>
    <row r="70" spans="1:12" ht="32" x14ac:dyDescent="0.2">
      <c r="A70" s="2" t="s">
        <v>276</v>
      </c>
      <c r="B70" s="2" t="s">
        <v>559</v>
      </c>
      <c r="C70" s="2" t="s">
        <v>680</v>
      </c>
      <c r="D70" s="2" t="s">
        <v>681</v>
      </c>
      <c r="E70" s="2">
        <v>28.4</v>
      </c>
      <c r="F70" s="2">
        <v>3593</v>
      </c>
      <c r="G70" s="2">
        <v>4224</v>
      </c>
      <c r="H70" s="2">
        <v>631</v>
      </c>
      <c r="I70" s="2">
        <v>0</v>
      </c>
      <c r="J70" s="2">
        <v>2</v>
      </c>
      <c r="K70" s="2"/>
      <c r="L70" s="2"/>
    </row>
    <row r="71" spans="1:12" ht="32" x14ac:dyDescent="0.2">
      <c r="A71" s="2" t="s">
        <v>276</v>
      </c>
      <c r="B71" s="2" t="s">
        <v>559</v>
      </c>
      <c r="C71" s="2" t="s">
        <v>682</v>
      </c>
      <c r="D71" s="2" t="s">
        <v>647</v>
      </c>
      <c r="E71" s="2">
        <v>26.2</v>
      </c>
      <c r="F71" s="2">
        <v>64777</v>
      </c>
      <c r="G71" s="2">
        <v>65276</v>
      </c>
      <c r="H71" s="2">
        <v>499</v>
      </c>
      <c r="I71" s="2">
        <v>0</v>
      </c>
      <c r="J71" s="2">
        <v>1</v>
      </c>
      <c r="K71" s="2"/>
      <c r="L71" s="2"/>
    </row>
    <row r="72" spans="1:12" ht="32" x14ac:dyDescent="0.2">
      <c r="A72" s="2" t="s">
        <v>298</v>
      </c>
      <c r="B72" s="2" t="s">
        <v>559</v>
      </c>
      <c r="C72" s="2" t="s">
        <v>683</v>
      </c>
      <c r="D72" s="2" t="s">
        <v>684</v>
      </c>
      <c r="E72" s="2">
        <v>19.2</v>
      </c>
      <c r="F72" s="2">
        <v>223610</v>
      </c>
      <c r="G72" s="2">
        <v>224099</v>
      </c>
      <c r="H72" s="2">
        <v>489</v>
      </c>
      <c r="I72" s="2">
        <v>1</v>
      </c>
      <c r="J72" s="2">
        <v>1</v>
      </c>
      <c r="K72" s="2"/>
      <c r="L72" s="2"/>
    </row>
    <row r="73" spans="1:12" ht="32" x14ac:dyDescent="0.2">
      <c r="A73" s="2" t="s">
        <v>276</v>
      </c>
      <c r="B73" s="2" t="s">
        <v>559</v>
      </c>
      <c r="C73" s="2" t="s">
        <v>663</v>
      </c>
      <c r="D73" s="2" t="s">
        <v>682</v>
      </c>
      <c r="E73" s="2">
        <v>18.7</v>
      </c>
      <c r="F73" s="2">
        <v>64342</v>
      </c>
      <c r="G73" s="2">
        <v>64777</v>
      </c>
      <c r="H73" s="2">
        <v>435</v>
      </c>
      <c r="I73" s="2">
        <v>0</v>
      </c>
      <c r="J73" s="2">
        <v>0</v>
      </c>
      <c r="K73" s="2"/>
      <c r="L73" s="2"/>
    </row>
    <row r="74" spans="1:12" ht="32" x14ac:dyDescent="0.2">
      <c r="A74" s="2" t="s">
        <v>276</v>
      </c>
      <c r="B74" s="2" t="s">
        <v>559</v>
      </c>
      <c r="C74" s="2" t="s">
        <v>662</v>
      </c>
      <c r="D74" s="2" t="s">
        <v>680</v>
      </c>
      <c r="E74" s="2">
        <v>22.8</v>
      </c>
      <c r="F74" s="2">
        <v>3168</v>
      </c>
      <c r="G74" s="2">
        <v>3593</v>
      </c>
      <c r="H74" s="2">
        <v>424</v>
      </c>
      <c r="I74" s="2">
        <v>0</v>
      </c>
      <c r="J74" s="2">
        <v>1</v>
      </c>
      <c r="K74" s="2"/>
      <c r="L74" s="2"/>
    </row>
    <row r="75" spans="1:12" ht="32" x14ac:dyDescent="0.2">
      <c r="A75" s="2" t="s">
        <v>298</v>
      </c>
      <c r="B75" s="2" t="s">
        <v>559</v>
      </c>
      <c r="C75" s="2" t="s">
        <v>685</v>
      </c>
      <c r="D75" s="2" t="s">
        <v>686</v>
      </c>
      <c r="E75" s="2">
        <v>20.100000000000001</v>
      </c>
      <c r="F75" s="2">
        <v>206816</v>
      </c>
      <c r="G75" s="2">
        <v>207162</v>
      </c>
      <c r="H75" s="2">
        <v>346</v>
      </c>
      <c r="I75" s="2">
        <v>2</v>
      </c>
      <c r="J75" s="2">
        <v>1</v>
      </c>
      <c r="K75" s="2"/>
      <c r="L75" s="2"/>
    </row>
    <row r="76" spans="1:12" ht="32" x14ac:dyDescent="0.2">
      <c r="A76" s="2" t="s">
        <v>298</v>
      </c>
      <c r="B76" s="2" t="s">
        <v>559</v>
      </c>
      <c r="C76" s="2" t="s">
        <v>687</v>
      </c>
      <c r="D76" s="2" t="s">
        <v>688</v>
      </c>
      <c r="E76" s="2">
        <v>21.7</v>
      </c>
      <c r="F76" s="2">
        <v>190873</v>
      </c>
      <c r="G76" s="2">
        <v>191211</v>
      </c>
      <c r="H76" s="2">
        <v>338</v>
      </c>
      <c r="I76" s="2">
        <v>2</v>
      </c>
      <c r="J76" s="2">
        <v>2</v>
      </c>
      <c r="K76" s="2"/>
      <c r="L76" s="2"/>
    </row>
    <row r="77" spans="1:12" ht="32" x14ac:dyDescent="0.2">
      <c r="A77" s="2" t="s">
        <v>276</v>
      </c>
      <c r="B77" s="2" t="s">
        <v>559</v>
      </c>
      <c r="C77" s="2" t="s">
        <v>689</v>
      </c>
      <c r="D77" s="2" t="s">
        <v>649</v>
      </c>
      <c r="E77" s="2">
        <v>19</v>
      </c>
      <c r="F77" s="2">
        <v>232</v>
      </c>
      <c r="G77" s="2">
        <v>518</v>
      </c>
      <c r="H77" s="2">
        <v>285</v>
      </c>
      <c r="I77" s="2">
        <v>0</v>
      </c>
      <c r="J77" s="2">
        <v>1</v>
      </c>
      <c r="K77" s="2"/>
      <c r="L77" s="2"/>
    </row>
    <row r="78" spans="1:12" ht="32" x14ac:dyDescent="0.2">
      <c r="A78" s="2" t="s">
        <v>298</v>
      </c>
      <c r="B78" s="2" t="s">
        <v>559</v>
      </c>
      <c r="C78" s="2" t="s">
        <v>690</v>
      </c>
      <c r="D78" s="2" t="s">
        <v>691</v>
      </c>
      <c r="E78" s="2">
        <v>19.399999999999999</v>
      </c>
      <c r="F78" s="2">
        <v>172055</v>
      </c>
      <c r="G78" s="2">
        <v>172326</v>
      </c>
      <c r="H78" s="2">
        <v>271</v>
      </c>
      <c r="I78" s="2">
        <v>1</v>
      </c>
      <c r="J78" s="2">
        <v>2</v>
      </c>
      <c r="K78" s="2"/>
      <c r="L78" s="2"/>
    </row>
    <row r="79" spans="1:12" ht="32" x14ac:dyDescent="0.2">
      <c r="A79" s="2" t="s">
        <v>276</v>
      </c>
      <c r="B79" s="2" t="s">
        <v>559</v>
      </c>
      <c r="C79" s="2" t="s">
        <v>692</v>
      </c>
      <c r="D79" s="2" t="s">
        <v>693</v>
      </c>
      <c r="E79" s="2">
        <v>18.7</v>
      </c>
      <c r="F79" s="2">
        <v>181145</v>
      </c>
      <c r="G79" s="2">
        <v>181349</v>
      </c>
      <c r="H79" s="2">
        <v>204</v>
      </c>
      <c r="I79" s="2">
        <v>0</v>
      </c>
      <c r="J79" s="2">
        <v>0</v>
      </c>
      <c r="K79" s="2"/>
      <c r="L79" s="2"/>
    </row>
    <row r="80" spans="1:12" ht="32" x14ac:dyDescent="0.2">
      <c r="A80" s="2" t="s">
        <v>276</v>
      </c>
      <c r="B80" s="2" t="s">
        <v>559</v>
      </c>
      <c r="C80" s="2" t="s">
        <v>669</v>
      </c>
      <c r="D80" s="2" t="s">
        <v>694</v>
      </c>
      <c r="E80" s="2">
        <v>17.8</v>
      </c>
      <c r="F80" s="2">
        <v>180932</v>
      </c>
      <c r="G80" s="2">
        <v>181065</v>
      </c>
      <c r="H80" s="2">
        <v>132</v>
      </c>
      <c r="I80" s="2">
        <v>0</v>
      </c>
      <c r="J80" s="2">
        <v>0</v>
      </c>
      <c r="K80" s="2"/>
      <c r="L80" s="2"/>
    </row>
    <row r="81" spans="1:12" ht="32" x14ac:dyDescent="0.2">
      <c r="A81" s="2" t="s">
        <v>276</v>
      </c>
      <c r="B81" s="2" t="s">
        <v>559</v>
      </c>
      <c r="C81" s="2" t="s">
        <v>671</v>
      </c>
      <c r="D81" s="2" t="s">
        <v>642</v>
      </c>
      <c r="E81" s="2">
        <v>44.5</v>
      </c>
      <c r="F81" s="2">
        <v>184367</v>
      </c>
      <c r="G81" s="2">
        <v>184456</v>
      </c>
      <c r="H81" s="2">
        <v>89</v>
      </c>
      <c r="I81" s="2">
        <v>0</v>
      </c>
      <c r="J81" s="2">
        <v>3</v>
      </c>
      <c r="K81" s="2"/>
      <c r="L81" s="2" t="s">
        <v>695</v>
      </c>
    </row>
    <row r="82" spans="1:12" ht="32" x14ac:dyDescent="0.2">
      <c r="A82" s="2" t="s">
        <v>276</v>
      </c>
      <c r="B82" s="2" t="s">
        <v>559</v>
      </c>
      <c r="C82" s="2" t="s">
        <v>696</v>
      </c>
      <c r="D82" s="2" t="s">
        <v>697</v>
      </c>
      <c r="E82" s="2">
        <v>43</v>
      </c>
      <c r="F82" s="2">
        <v>181297</v>
      </c>
      <c r="G82" s="2">
        <v>181383</v>
      </c>
      <c r="H82" s="2">
        <v>87</v>
      </c>
      <c r="I82" s="2">
        <v>0</v>
      </c>
      <c r="J82" s="2">
        <v>1</v>
      </c>
      <c r="K82" s="2"/>
      <c r="L82" s="2" t="s">
        <v>698</v>
      </c>
    </row>
    <row r="83" spans="1:12" ht="32" x14ac:dyDescent="0.2">
      <c r="A83" s="2" t="s">
        <v>276</v>
      </c>
      <c r="B83" s="2" t="s">
        <v>559</v>
      </c>
      <c r="C83" s="2" t="s">
        <v>574</v>
      </c>
      <c r="D83" s="2" t="s">
        <v>668</v>
      </c>
      <c r="E83" s="2">
        <v>15.1</v>
      </c>
      <c r="F83" s="2">
        <v>179976</v>
      </c>
      <c r="G83" s="2">
        <v>180063</v>
      </c>
      <c r="H83" s="2">
        <v>86</v>
      </c>
      <c r="I83" s="2">
        <v>0</v>
      </c>
      <c r="J83" s="2">
        <v>1</v>
      </c>
      <c r="K83" s="2"/>
      <c r="L83" s="2"/>
    </row>
    <row r="84" spans="1:12" ht="32" x14ac:dyDescent="0.2">
      <c r="A84" s="2" t="s">
        <v>276</v>
      </c>
      <c r="B84" s="2" t="s">
        <v>559</v>
      </c>
      <c r="C84" s="2" t="s">
        <v>694</v>
      </c>
      <c r="D84" s="2" t="s">
        <v>692</v>
      </c>
      <c r="E84" s="2">
        <v>28.9</v>
      </c>
      <c r="F84" s="2">
        <v>181065</v>
      </c>
      <c r="G84" s="2">
        <v>181145</v>
      </c>
      <c r="H84" s="2">
        <v>80</v>
      </c>
      <c r="I84" s="2">
        <v>0</v>
      </c>
      <c r="J84" s="2">
        <v>2</v>
      </c>
      <c r="K84" s="2"/>
      <c r="L84" s="2"/>
    </row>
    <row r="85" spans="1:12" ht="32" x14ac:dyDescent="0.2">
      <c r="A85" s="2" t="s">
        <v>276</v>
      </c>
      <c r="B85" s="2" t="s">
        <v>559</v>
      </c>
      <c r="C85" s="2" t="s">
        <v>595</v>
      </c>
      <c r="D85" s="2" t="s">
        <v>699</v>
      </c>
      <c r="E85" s="2">
        <v>22.3</v>
      </c>
      <c r="F85" s="2">
        <v>96461</v>
      </c>
      <c r="G85" s="2">
        <v>96509</v>
      </c>
      <c r="H85" s="2">
        <v>48</v>
      </c>
      <c r="I85" s="2">
        <v>0</v>
      </c>
      <c r="J85" s="2">
        <v>1</v>
      </c>
      <c r="K85" s="2"/>
      <c r="L85" s="2"/>
    </row>
    <row r="86" spans="1:12" ht="32" x14ac:dyDescent="0.2">
      <c r="A86" s="2" t="s">
        <v>298</v>
      </c>
      <c r="B86" s="2" t="s">
        <v>559</v>
      </c>
      <c r="C86" s="2" t="s">
        <v>700</v>
      </c>
      <c r="D86" s="2" t="s">
        <v>701</v>
      </c>
      <c r="E86" s="2">
        <v>20.6</v>
      </c>
      <c r="F86" s="2">
        <v>211019</v>
      </c>
      <c r="G86" s="2">
        <v>211038</v>
      </c>
      <c r="H86" s="2">
        <v>19</v>
      </c>
      <c r="I86" s="2">
        <v>2</v>
      </c>
      <c r="J86" s="2">
        <v>2</v>
      </c>
      <c r="K86" s="2"/>
      <c r="L86" s="2"/>
    </row>
    <row r="87" spans="1:12" ht="32" x14ac:dyDescent="0.2">
      <c r="A87" s="2" t="s">
        <v>298</v>
      </c>
      <c r="B87" s="2" t="s">
        <v>559</v>
      </c>
      <c r="C87" s="2" t="s">
        <v>702</v>
      </c>
      <c r="D87" s="2" t="s">
        <v>703</v>
      </c>
      <c r="E87" s="2">
        <v>23</v>
      </c>
      <c r="F87" s="2">
        <v>214509</v>
      </c>
      <c r="G87" s="2">
        <v>214528</v>
      </c>
      <c r="H87" s="2">
        <v>19</v>
      </c>
      <c r="I87" s="2">
        <v>2</v>
      </c>
      <c r="J87" s="2">
        <v>3</v>
      </c>
      <c r="K87" s="2"/>
      <c r="L87" s="2"/>
    </row>
    <row r="88" spans="1:12" ht="32" x14ac:dyDescent="0.2">
      <c r="A88" s="2" t="s">
        <v>298</v>
      </c>
      <c r="B88" s="2" t="s">
        <v>559</v>
      </c>
      <c r="C88" s="2" t="s">
        <v>704</v>
      </c>
      <c r="D88" s="2" t="s">
        <v>631</v>
      </c>
      <c r="E88" s="2">
        <v>21.8</v>
      </c>
      <c r="F88" s="2">
        <v>227085</v>
      </c>
      <c r="G88" s="2">
        <v>227098</v>
      </c>
      <c r="H88" s="2">
        <v>13</v>
      </c>
      <c r="I88" s="2">
        <v>2</v>
      </c>
      <c r="J88" s="2">
        <v>2</v>
      </c>
      <c r="K88" s="2"/>
      <c r="L88" s="2"/>
    </row>
    <row r="89" spans="1:12" ht="32" x14ac:dyDescent="0.2">
      <c r="A89" s="2" t="s">
        <v>276</v>
      </c>
      <c r="B89" s="2" t="s">
        <v>559</v>
      </c>
      <c r="C89" s="2" t="s">
        <v>597</v>
      </c>
      <c r="D89" s="2" t="s">
        <v>705</v>
      </c>
      <c r="E89" s="2">
        <v>15.1</v>
      </c>
      <c r="F89" s="2">
        <v>48338</v>
      </c>
      <c r="G89" s="2">
        <v>48340</v>
      </c>
      <c r="H89" s="2">
        <v>2</v>
      </c>
      <c r="I89" s="2">
        <v>0</v>
      </c>
      <c r="J89" s="2">
        <v>0</v>
      </c>
      <c r="K89" s="2"/>
      <c r="L89" s="2"/>
    </row>
    <row r="90" spans="1:12" ht="32" x14ac:dyDescent="0.2">
      <c r="A90" s="2" t="s">
        <v>276</v>
      </c>
      <c r="B90" s="2" t="s">
        <v>559</v>
      </c>
      <c r="C90" s="2" t="s">
        <v>706</v>
      </c>
      <c r="D90" s="2" t="s">
        <v>707</v>
      </c>
      <c r="E90" s="2">
        <v>15.4</v>
      </c>
      <c r="F90" s="2">
        <v>38072</v>
      </c>
      <c r="G90" s="2">
        <v>38072</v>
      </c>
      <c r="H90" s="2">
        <v>0</v>
      </c>
      <c r="I90" s="2">
        <v>0</v>
      </c>
      <c r="J90" s="2">
        <v>2</v>
      </c>
      <c r="K90" s="2"/>
      <c r="L90" s="2" t="s">
        <v>708</v>
      </c>
    </row>
    <row r="91" spans="1:12" ht="32" x14ac:dyDescent="0.2">
      <c r="A91" s="2" t="s">
        <v>276</v>
      </c>
      <c r="B91" s="2" t="s">
        <v>559</v>
      </c>
      <c r="C91" s="2" t="s">
        <v>709</v>
      </c>
      <c r="D91" s="2" t="s">
        <v>710</v>
      </c>
      <c r="E91" s="2">
        <v>17.2</v>
      </c>
      <c r="F91" s="2">
        <v>186455</v>
      </c>
      <c r="G91" s="2">
        <v>186455</v>
      </c>
      <c r="H91" s="2">
        <v>0</v>
      </c>
      <c r="I91" s="2">
        <v>0</v>
      </c>
      <c r="J91" s="2">
        <v>0</v>
      </c>
      <c r="K91" s="2"/>
      <c r="L91" s="2"/>
    </row>
    <row r="92" spans="1:12" ht="32" x14ac:dyDescent="0.2">
      <c r="A92" s="2" t="s">
        <v>276</v>
      </c>
      <c r="B92" s="2" t="s">
        <v>559</v>
      </c>
      <c r="C92" s="2" t="s">
        <v>711</v>
      </c>
      <c r="D92" s="2" t="s">
        <v>712</v>
      </c>
      <c r="E92" s="2">
        <v>53.6</v>
      </c>
      <c r="F92" s="2">
        <v>188404</v>
      </c>
      <c r="G92" s="2">
        <v>188404</v>
      </c>
      <c r="H92" s="2">
        <v>0</v>
      </c>
      <c r="I92" s="2">
        <v>0</v>
      </c>
      <c r="J92" s="2">
        <v>3</v>
      </c>
      <c r="K92" s="2"/>
      <c r="L92" s="2"/>
    </row>
    <row r="93" spans="1:12" ht="32" x14ac:dyDescent="0.2">
      <c r="A93" s="2" t="s">
        <v>276</v>
      </c>
      <c r="B93" s="2" t="s">
        <v>559</v>
      </c>
      <c r="C93" s="2" t="s">
        <v>712</v>
      </c>
      <c r="D93" s="2" t="s">
        <v>713</v>
      </c>
      <c r="E93" s="2">
        <v>42.9</v>
      </c>
      <c r="F93" s="2">
        <v>188404</v>
      </c>
      <c r="G93" s="2">
        <v>188404</v>
      </c>
      <c r="H93" s="2">
        <v>0</v>
      </c>
      <c r="I93" s="2">
        <v>0</v>
      </c>
      <c r="J93" s="2">
        <v>2</v>
      </c>
      <c r="K93" s="2"/>
      <c r="L93" s="2"/>
    </row>
    <row r="94" spans="1:12" ht="32" x14ac:dyDescent="0.2">
      <c r="A94" s="2" t="s">
        <v>298</v>
      </c>
      <c r="B94" s="2" t="s">
        <v>559</v>
      </c>
      <c r="C94" s="2" t="s">
        <v>632</v>
      </c>
      <c r="D94" s="2" t="s">
        <v>714</v>
      </c>
      <c r="E94" s="2">
        <v>24.4</v>
      </c>
      <c r="F94" s="2">
        <v>229651</v>
      </c>
      <c r="G94" s="2">
        <v>229651</v>
      </c>
      <c r="H94" s="2">
        <v>0</v>
      </c>
      <c r="I94" s="2">
        <v>2</v>
      </c>
      <c r="J94" s="2">
        <v>2</v>
      </c>
      <c r="K94" s="2"/>
      <c r="L94" s="2"/>
    </row>
    <row r="95" spans="1:12" ht="32" x14ac:dyDescent="0.2">
      <c r="A95" s="2" t="s">
        <v>298</v>
      </c>
      <c r="B95" s="2" t="s">
        <v>559</v>
      </c>
      <c r="C95" s="2" t="s">
        <v>714</v>
      </c>
      <c r="D95" s="2" t="s">
        <v>715</v>
      </c>
      <c r="E95" s="2">
        <v>47.5</v>
      </c>
      <c r="F95" s="2">
        <v>229651</v>
      </c>
      <c r="G95" s="2">
        <v>229651</v>
      </c>
      <c r="H95" s="2">
        <v>0</v>
      </c>
      <c r="I95" s="2">
        <v>4</v>
      </c>
      <c r="J95" s="2">
        <v>4</v>
      </c>
      <c r="K95" s="2"/>
      <c r="L95" s="2"/>
    </row>
    <row r="96" spans="1:12" ht="32" x14ac:dyDescent="0.2">
      <c r="A96" s="2" t="s">
        <v>298</v>
      </c>
      <c r="B96" s="2" t="s">
        <v>559</v>
      </c>
      <c r="C96" s="2" t="s">
        <v>715</v>
      </c>
      <c r="D96" s="2" t="s">
        <v>716</v>
      </c>
      <c r="E96" s="2">
        <v>76.099999999999994</v>
      </c>
      <c r="F96" s="2">
        <v>229651</v>
      </c>
      <c r="G96" s="2">
        <v>229651</v>
      </c>
      <c r="H96" s="2">
        <v>0</v>
      </c>
      <c r="I96" s="2">
        <v>7</v>
      </c>
      <c r="J96" s="2">
        <v>5</v>
      </c>
      <c r="K96" s="2"/>
      <c r="L96" s="2"/>
    </row>
    <row r="97" spans="1:12" ht="32" x14ac:dyDescent="0.2">
      <c r="A97" s="2" t="s">
        <v>298</v>
      </c>
      <c r="B97" s="2" t="s">
        <v>559</v>
      </c>
      <c r="C97" s="2" t="s">
        <v>716</v>
      </c>
      <c r="D97" s="2" t="s">
        <v>717</v>
      </c>
      <c r="E97" s="2">
        <v>47</v>
      </c>
      <c r="F97" s="2">
        <v>229651</v>
      </c>
      <c r="G97" s="2">
        <v>229651</v>
      </c>
      <c r="H97" s="2">
        <v>0</v>
      </c>
      <c r="I97" s="2">
        <v>3</v>
      </c>
      <c r="J97" s="2">
        <v>1</v>
      </c>
      <c r="K97" s="2"/>
      <c r="L97" s="2"/>
    </row>
    <row r="98" spans="1:12" ht="32" x14ac:dyDescent="0.2">
      <c r="A98" s="2" t="s">
        <v>298</v>
      </c>
      <c r="B98" s="2" t="s">
        <v>559</v>
      </c>
      <c r="C98" s="2" t="s">
        <v>717</v>
      </c>
      <c r="D98" s="2" t="s">
        <v>718</v>
      </c>
      <c r="E98" s="2">
        <v>35</v>
      </c>
      <c r="F98" s="2">
        <v>229651</v>
      </c>
      <c r="G98" s="2">
        <v>229651</v>
      </c>
      <c r="H98" s="2">
        <v>0</v>
      </c>
      <c r="I98" s="2">
        <v>2</v>
      </c>
      <c r="J98" s="2">
        <v>2</v>
      </c>
      <c r="K98" s="2"/>
      <c r="L98" s="2"/>
    </row>
    <row r="99" spans="1:12" ht="32" x14ac:dyDescent="0.2">
      <c r="A99" s="2" t="s">
        <v>298</v>
      </c>
      <c r="B99" s="2" t="s">
        <v>559</v>
      </c>
      <c r="C99" s="2" t="s">
        <v>718</v>
      </c>
      <c r="D99" s="2" t="s">
        <v>719</v>
      </c>
      <c r="E99" s="2">
        <v>25.2</v>
      </c>
      <c r="F99" s="2">
        <v>229651</v>
      </c>
      <c r="G99" s="2">
        <v>229651</v>
      </c>
      <c r="H99" s="2">
        <v>0</v>
      </c>
      <c r="I99" s="2">
        <v>3</v>
      </c>
      <c r="J99" s="2">
        <v>1</v>
      </c>
      <c r="K99" s="2"/>
      <c r="L99" s="2"/>
    </row>
    <row r="100" spans="1:12" ht="32" x14ac:dyDescent="0.2">
      <c r="A100" s="2" t="s">
        <v>298</v>
      </c>
      <c r="B100" s="2" t="s">
        <v>559</v>
      </c>
      <c r="C100" s="2" t="s">
        <v>719</v>
      </c>
      <c r="D100" s="2" t="s">
        <v>720</v>
      </c>
      <c r="E100" s="2">
        <v>19.7</v>
      </c>
      <c r="F100" s="2">
        <v>229651</v>
      </c>
      <c r="G100" s="2">
        <v>229651</v>
      </c>
      <c r="H100" s="2">
        <v>0</v>
      </c>
      <c r="I100" s="2">
        <v>1</v>
      </c>
      <c r="J100" s="2">
        <v>1</v>
      </c>
      <c r="K100" s="2"/>
      <c r="L100" s="2" t="s">
        <v>721</v>
      </c>
    </row>
    <row r="101" spans="1:12" ht="32" x14ac:dyDescent="0.2">
      <c r="A101" s="2" t="s">
        <v>307</v>
      </c>
      <c r="B101" s="2" t="s">
        <v>559</v>
      </c>
      <c r="C101" s="2" t="s">
        <v>679</v>
      </c>
      <c r="D101" s="2" t="s">
        <v>722</v>
      </c>
      <c r="E101" s="2">
        <v>93.3</v>
      </c>
      <c r="F101" s="2">
        <v>153336</v>
      </c>
      <c r="G101" s="2">
        <v>153336</v>
      </c>
      <c r="H101" s="2">
        <v>0</v>
      </c>
      <c r="I101" s="2">
        <v>8</v>
      </c>
      <c r="J101" s="2">
        <v>9</v>
      </c>
      <c r="K101" s="2"/>
      <c r="L101" s="2"/>
    </row>
    <row r="102" spans="1:12" ht="32" x14ac:dyDescent="0.2">
      <c r="A102" s="2" t="s">
        <v>298</v>
      </c>
      <c r="B102" s="2" t="s">
        <v>559</v>
      </c>
      <c r="C102" s="2" t="s">
        <v>723</v>
      </c>
      <c r="D102" s="2" t="s">
        <v>702</v>
      </c>
      <c r="E102" s="2">
        <v>22.4</v>
      </c>
      <c r="F102" s="2">
        <v>214527</v>
      </c>
      <c r="G102" s="2">
        <v>214509</v>
      </c>
      <c r="H102" s="2">
        <v>-19</v>
      </c>
      <c r="I102" s="2">
        <v>2</v>
      </c>
      <c r="J102" s="2">
        <v>3</v>
      </c>
      <c r="K102" s="2"/>
      <c r="L102" s="2"/>
    </row>
    <row r="103" spans="1:12" ht="32" x14ac:dyDescent="0.2">
      <c r="A103" s="2" t="s">
        <v>276</v>
      </c>
      <c r="B103" s="2" t="s">
        <v>559</v>
      </c>
      <c r="C103" s="2" t="s">
        <v>724</v>
      </c>
      <c r="D103" s="2" t="s">
        <v>725</v>
      </c>
      <c r="E103" s="2">
        <v>16.600000000000001</v>
      </c>
      <c r="F103" s="2">
        <v>188465</v>
      </c>
      <c r="G103" s="2">
        <v>188397</v>
      </c>
      <c r="H103" s="2">
        <v>-68</v>
      </c>
      <c r="I103" s="2">
        <v>0</v>
      </c>
      <c r="J103" s="2">
        <v>0</v>
      </c>
      <c r="K103" s="2"/>
      <c r="L103" s="2"/>
    </row>
    <row r="104" spans="1:12" ht="32" x14ac:dyDescent="0.2">
      <c r="A104" s="2" t="s">
        <v>276</v>
      </c>
      <c r="B104" s="2" t="s">
        <v>559</v>
      </c>
      <c r="C104" s="2" t="s">
        <v>726</v>
      </c>
      <c r="D104" s="2" t="s">
        <v>727</v>
      </c>
      <c r="E104" s="2">
        <v>38.700000000000003</v>
      </c>
      <c r="F104" s="2">
        <v>188488</v>
      </c>
      <c r="G104" s="2">
        <v>188404</v>
      </c>
      <c r="H104" s="2">
        <v>-83</v>
      </c>
      <c r="I104" s="2">
        <v>0</v>
      </c>
      <c r="J104" s="2">
        <v>1</v>
      </c>
      <c r="K104" s="2"/>
      <c r="L104" s="2"/>
    </row>
    <row r="105" spans="1:12" ht="32" x14ac:dyDescent="0.2">
      <c r="A105" s="2" t="s">
        <v>276</v>
      </c>
      <c r="B105" s="2" t="s">
        <v>559</v>
      </c>
      <c r="C105" s="2" t="s">
        <v>728</v>
      </c>
      <c r="D105" s="2" t="s">
        <v>711</v>
      </c>
      <c r="E105" s="2">
        <v>140.19999999999999</v>
      </c>
      <c r="F105" s="2">
        <v>188488</v>
      </c>
      <c r="G105" s="2">
        <v>188404</v>
      </c>
      <c r="H105" s="2">
        <v>-83</v>
      </c>
      <c r="I105" s="2">
        <v>0</v>
      </c>
      <c r="J105" s="2">
        <v>7</v>
      </c>
      <c r="K105" s="2"/>
      <c r="L105" s="2"/>
    </row>
    <row r="106" spans="1:12" ht="32" x14ac:dyDescent="0.2">
      <c r="A106" s="2" t="s">
        <v>307</v>
      </c>
      <c r="B106" s="2" t="s">
        <v>559</v>
      </c>
      <c r="C106" s="2" t="s">
        <v>586</v>
      </c>
      <c r="D106" s="2" t="s">
        <v>729</v>
      </c>
      <c r="E106" s="2">
        <v>19.100000000000001</v>
      </c>
      <c r="F106" s="2">
        <v>151575</v>
      </c>
      <c r="G106" s="2">
        <v>145135</v>
      </c>
      <c r="H106" s="2">
        <v>-6440</v>
      </c>
      <c r="I106" s="2">
        <v>2</v>
      </c>
      <c r="J106" s="2">
        <v>1</v>
      </c>
      <c r="K106" s="2"/>
      <c r="L106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18" customWidth="1"/>
    <col min="4" max="4" width="12" customWidth="1"/>
    <col min="5" max="19" width="20" customWidth="1"/>
  </cols>
  <sheetData>
    <row r="1" spans="1:19" ht="48" x14ac:dyDescent="0.2">
      <c r="A1" s="1" t="s">
        <v>730</v>
      </c>
      <c r="B1" s="1" t="s">
        <v>731</v>
      </c>
      <c r="C1" s="1" t="s">
        <v>732</v>
      </c>
      <c r="D1" s="1" t="s">
        <v>733</v>
      </c>
      <c r="E1" s="1" t="s">
        <v>734</v>
      </c>
      <c r="F1" s="1" t="s">
        <v>735</v>
      </c>
      <c r="G1" s="1" t="s">
        <v>736</v>
      </c>
      <c r="H1" s="1" t="s">
        <v>737</v>
      </c>
      <c r="I1" s="1" t="s">
        <v>738</v>
      </c>
      <c r="J1" s="1" t="s">
        <v>739</v>
      </c>
      <c r="K1" s="1" t="s">
        <v>740</v>
      </c>
      <c r="L1" s="1" t="s">
        <v>741</v>
      </c>
      <c r="M1" s="1" t="s">
        <v>742</v>
      </c>
      <c r="N1" s="1" t="s">
        <v>743</v>
      </c>
      <c r="O1" s="1" t="s">
        <v>744</v>
      </c>
      <c r="P1" s="1" t="s">
        <v>745</v>
      </c>
      <c r="Q1" s="1" t="s">
        <v>746</v>
      </c>
      <c r="R1" s="1" t="s">
        <v>747</v>
      </c>
      <c r="S1" s="1" t="s">
        <v>748</v>
      </c>
    </row>
    <row r="2" spans="1:19" ht="32" x14ac:dyDescent="0.2">
      <c r="A2" s="2" t="s">
        <v>298</v>
      </c>
      <c r="B2" s="2" t="s">
        <v>749</v>
      </c>
      <c r="C2" s="2" t="s">
        <v>750</v>
      </c>
      <c r="D2" s="2" t="s">
        <v>751</v>
      </c>
      <c r="E2" s="2" t="s">
        <v>561</v>
      </c>
      <c r="F2" s="2" t="s">
        <v>752</v>
      </c>
      <c r="G2" s="2" t="s">
        <v>753</v>
      </c>
      <c r="H2" s="2" t="s">
        <v>754</v>
      </c>
      <c r="I2" s="2" t="s">
        <v>755</v>
      </c>
      <c r="J2" s="2" t="s">
        <v>756</v>
      </c>
      <c r="K2" s="2" t="s">
        <v>757</v>
      </c>
      <c r="L2" s="2" t="s">
        <v>758</v>
      </c>
      <c r="M2" s="2" t="s">
        <v>759</v>
      </c>
      <c r="N2" s="2" t="s">
        <v>760</v>
      </c>
      <c r="O2" s="2" t="s">
        <v>761</v>
      </c>
      <c r="P2" s="2" t="s">
        <v>762</v>
      </c>
      <c r="Q2" s="2" t="s">
        <v>763</v>
      </c>
      <c r="R2" s="2" t="s">
        <v>764</v>
      </c>
      <c r="S2" s="2" t="s">
        <v>765</v>
      </c>
    </row>
    <row r="3" spans="1:19" ht="16" x14ac:dyDescent="0.2">
      <c r="A3" s="2" t="s">
        <v>307</v>
      </c>
      <c r="B3" s="2" t="s">
        <v>565</v>
      </c>
      <c r="C3" s="2" t="s">
        <v>766</v>
      </c>
      <c r="D3" s="2" t="s">
        <v>767</v>
      </c>
      <c r="E3" s="2" t="s">
        <v>768</v>
      </c>
      <c r="F3" s="2" t="s">
        <v>767</v>
      </c>
      <c r="G3" s="2" t="s">
        <v>769</v>
      </c>
      <c r="H3" s="2" t="s">
        <v>770</v>
      </c>
      <c r="I3" s="2" t="s">
        <v>771</v>
      </c>
      <c r="J3" s="2" t="s">
        <v>768</v>
      </c>
      <c r="K3" s="2" t="s">
        <v>767</v>
      </c>
      <c r="L3" s="2" t="s">
        <v>769</v>
      </c>
      <c r="M3" s="2" t="s">
        <v>563</v>
      </c>
      <c r="N3" s="2" t="s">
        <v>772</v>
      </c>
      <c r="O3" s="2" t="s">
        <v>768</v>
      </c>
      <c r="P3" s="2" t="s">
        <v>767</v>
      </c>
      <c r="Q3" s="2" t="s">
        <v>769</v>
      </c>
      <c r="R3" s="2" t="s">
        <v>773</v>
      </c>
      <c r="S3" s="2" t="s">
        <v>774</v>
      </c>
    </row>
    <row r="4" spans="1:19" ht="16" x14ac:dyDescent="0.2">
      <c r="A4" s="2" t="s">
        <v>307</v>
      </c>
      <c r="B4" s="2" t="s">
        <v>775</v>
      </c>
      <c r="C4" s="2" t="s">
        <v>776</v>
      </c>
      <c r="D4" s="2" t="s">
        <v>777</v>
      </c>
      <c r="E4" s="2" t="s">
        <v>770</v>
      </c>
      <c r="F4" s="2" t="s">
        <v>778</v>
      </c>
      <c r="G4" s="2" t="s">
        <v>771</v>
      </c>
      <c r="H4" s="2" t="s">
        <v>563</v>
      </c>
      <c r="I4" s="2" t="s">
        <v>779</v>
      </c>
      <c r="J4" s="2" t="s">
        <v>768</v>
      </c>
      <c r="K4" s="2" t="s">
        <v>777</v>
      </c>
      <c r="L4" s="2" t="s">
        <v>769</v>
      </c>
      <c r="M4" s="2" t="s">
        <v>563</v>
      </c>
      <c r="N4" s="2" t="s">
        <v>772</v>
      </c>
      <c r="O4" s="2" t="s">
        <v>768</v>
      </c>
      <c r="P4" s="2" t="s">
        <v>777</v>
      </c>
      <c r="Q4" s="2" t="s">
        <v>769</v>
      </c>
      <c r="R4" s="2" t="s">
        <v>773</v>
      </c>
      <c r="S4" s="2" t="s">
        <v>774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20" customWidth="1"/>
    <col min="4" max="5" width="14" customWidth="1"/>
    <col min="6" max="8" width="10" customWidth="1"/>
  </cols>
  <sheetData>
    <row r="1" spans="1:8" ht="16" x14ac:dyDescent="0.2">
      <c r="A1" s="1" t="s">
        <v>780</v>
      </c>
      <c r="B1" s="1" t="s">
        <v>781</v>
      </c>
      <c r="C1" s="1" t="s">
        <v>782</v>
      </c>
      <c r="D1" s="1" t="s">
        <v>783</v>
      </c>
      <c r="E1" s="1" t="s">
        <v>784</v>
      </c>
      <c r="F1" s="1" t="s">
        <v>785</v>
      </c>
      <c r="G1" s="1" t="s">
        <v>786</v>
      </c>
      <c r="H1" s="1" t="s">
        <v>787</v>
      </c>
    </row>
    <row r="2" spans="1:8" ht="16" x14ac:dyDescent="0.2">
      <c r="A2" s="2">
        <v>1</v>
      </c>
      <c r="B2" s="2" t="s">
        <v>788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ht="16" x14ac:dyDescent="0.2">
      <c r="A3" s="2">
        <v>1</v>
      </c>
      <c r="B3" s="2" t="s">
        <v>789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ht="16" x14ac:dyDescent="0.2">
      <c r="A4" s="2">
        <v>2</v>
      </c>
      <c r="B4" s="2" t="s">
        <v>788</v>
      </c>
      <c r="C4" s="2">
        <v>705.09</v>
      </c>
      <c r="D4" s="2">
        <v>1413.69</v>
      </c>
      <c r="E4" s="2">
        <v>27991.360000000001</v>
      </c>
      <c r="F4" s="2">
        <v>1.0900000000000001</v>
      </c>
      <c r="G4" s="2">
        <v>0.9</v>
      </c>
      <c r="H4" s="2">
        <v>84.95</v>
      </c>
    </row>
    <row r="5" spans="1:8" ht="16" x14ac:dyDescent="0.2">
      <c r="A5" s="2">
        <v>2</v>
      </c>
      <c r="B5" s="2" t="s">
        <v>789</v>
      </c>
      <c r="C5" s="2">
        <v>1524.84</v>
      </c>
      <c r="D5" s="2">
        <v>4271.71</v>
      </c>
      <c r="E5" s="2">
        <v>27991.360000000001</v>
      </c>
      <c r="F5" s="2">
        <v>2.6</v>
      </c>
      <c r="G5" s="2">
        <v>5.64</v>
      </c>
      <c r="H5" s="2">
        <v>84.95</v>
      </c>
    </row>
    <row r="6" spans="1:8" ht="16" x14ac:dyDescent="0.2">
      <c r="A6" s="2">
        <v>3</v>
      </c>
      <c r="B6" s="2" t="s">
        <v>788</v>
      </c>
      <c r="C6" s="2">
        <v>1412.45</v>
      </c>
      <c r="D6" s="2">
        <v>3470.1</v>
      </c>
      <c r="E6" s="2">
        <v>42293.57</v>
      </c>
      <c r="F6" s="2">
        <v>2.12</v>
      </c>
      <c r="G6" s="2">
        <v>3.34</v>
      </c>
      <c r="H6" s="2">
        <v>84.95</v>
      </c>
    </row>
    <row r="7" spans="1:8" ht="16" x14ac:dyDescent="0.2">
      <c r="A7" s="2">
        <v>3</v>
      </c>
      <c r="B7" s="2" t="s">
        <v>789</v>
      </c>
      <c r="C7" s="2">
        <v>3063.54</v>
      </c>
      <c r="D7" s="2">
        <v>9857.85</v>
      </c>
      <c r="E7" s="2">
        <v>42293.57</v>
      </c>
      <c r="F7" s="2">
        <v>5.07</v>
      </c>
      <c r="G7" s="2">
        <v>16.05</v>
      </c>
      <c r="H7" s="2">
        <v>84.95</v>
      </c>
    </row>
    <row r="8" spans="1:8" ht="16" x14ac:dyDescent="0.2">
      <c r="A8" s="2">
        <v>6</v>
      </c>
      <c r="B8" s="2" t="s">
        <v>788</v>
      </c>
      <c r="C8" s="2">
        <v>3545.18</v>
      </c>
      <c r="D8" s="2">
        <v>10564.55</v>
      </c>
      <c r="E8" s="2">
        <v>78515.509999999995</v>
      </c>
      <c r="F8" s="2">
        <v>4.55</v>
      </c>
      <c r="G8" s="2">
        <v>12.86</v>
      </c>
      <c r="H8" s="2">
        <v>89.73</v>
      </c>
    </row>
    <row r="9" spans="1:8" ht="16" x14ac:dyDescent="0.2">
      <c r="A9" s="2">
        <v>6</v>
      </c>
      <c r="B9" s="2" t="s">
        <v>789</v>
      </c>
      <c r="C9" s="2">
        <v>7750.22</v>
      </c>
      <c r="D9" s="2">
        <v>22034.14</v>
      </c>
      <c r="E9" s="2">
        <v>78515.509999999995</v>
      </c>
      <c r="F9" s="2">
        <v>10.93</v>
      </c>
      <c r="G9" s="2">
        <v>39.549999999999997</v>
      </c>
      <c r="H9" s="2">
        <v>89.73</v>
      </c>
    </row>
    <row r="10" spans="1:8" ht="16" x14ac:dyDescent="0.2">
      <c r="A10" s="2">
        <v>12</v>
      </c>
      <c r="B10" s="2" t="s">
        <v>788</v>
      </c>
      <c r="C10" s="2">
        <v>7874.6</v>
      </c>
      <c r="D10" s="2">
        <v>22536.68</v>
      </c>
      <c r="E10" s="2">
        <v>126165.58</v>
      </c>
      <c r="F10" s="2">
        <v>8.23</v>
      </c>
      <c r="G10" s="2">
        <v>35.31</v>
      </c>
      <c r="H10" s="2">
        <v>91.21</v>
      </c>
    </row>
    <row r="11" spans="1:8" ht="16" x14ac:dyDescent="0.2">
      <c r="A11" s="2">
        <v>12</v>
      </c>
      <c r="B11" s="2" t="s">
        <v>789</v>
      </c>
      <c r="C11" s="2">
        <v>17413.57</v>
      </c>
      <c r="D11" s="2">
        <v>58195.05</v>
      </c>
      <c r="E11" s="2">
        <v>126165.58</v>
      </c>
      <c r="F11" s="2">
        <v>19.98</v>
      </c>
      <c r="G11" s="2">
        <v>62.26</v>
      </c>
      <c r="H11" s="2">
        <v>91.21</v>
      </c>
    </row>
    <row r="12" spans="1:8" ht="16" x14ac:dyDescent="0.2">
      <c r="A12" s="2">
        <v>24</v>
      </c>
      <c r="B12" s="2" t="s">
        <v>788</v>
      </c>
      <c r="C12" s="2">
        <v>16810.72</v>
      </c>
      <c r="D12" s="2">
        <v>47336.99</v>
      </c>
      <c r="E12" s="2">
        <v>221707.4</v>
      </c>
      <c r="F12" s="2">
        <v>12.98</v>
      </c>
      <c r="G12" s="2">
        <v>56.72</v>
      </c>
      <c r="H12" s="2">
        <v>97.06</v>
      </c>
    </row>
    <row r="13" spans="1:8" ht="16" x14ac:dyDescent="0.2">
      <c r="A13" s="2">
        <v>24</v>
      </c>
      <c r="B13" s="2" t="s">
        <v>789</v>
      </c>
      <c r="C13" s="2">
        <v>38050.21</v>
      </c>
      <c r="D13" s="2">
        <v>120601.21</v>
      </c>
      <c r="E13" s="2">
        <v>221707.4</v>
      </c>
      <c r="F13" s="2">
        <v>32.159999999999997</v>
      </c>
      <c r="G13" s="2">
        <v>86.43</v>
      </c>
      <c r="H13" s="2">
        <v>97.06</v>
      </c>
    </row>
    <row r="15" spans="1:8" x14ac:dyDescent="0.2">
      <c r="A15" t="s">
        <v>790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4" width="18" customWidth="1"/>
    <col min="5" max="5" width="8" customWidth="1"/>
    <col min="6" max="6" width="14" customWidth="1"/>
    <col min="7" max="7" width="16" customWidth="1"/>
  </cols>
  <sheetData>
    <row r="1" spans="1:7" ht="32" x14ac:dyDescent="0.2">
      <c r="A1" s="1" t="s">
        <v>272</v>
      </c>
      <c r="B1" s="1" t="s">
        <v>275</v>
      </c>
      <c r="C1" s="1" t="s">
        <v>791</v>
      </c>
      <c r="D1" s="1" t="s">
        <v>792</v>
      </c>
      <c r="E1" s="1" t="s">
        <v>551</v>
      </c>
      <c r="F1" s="1" t="s">
        <v>538</v>
      </c>
      <c r="G1" s="1" t="s">
        <v>793</v>
      </c>
    </row>
    <row r="2" spans="1:7" ht="16" x14ac:dyDescent="0.2">
      <c r="A2" s="2" t="s">
        <v>276</v>
      </c>
      <c r="B2" s="2" t="s">
        <v>559</v>
      </c>
      <c r="C2" s="2" t="s">
        <v>689</v>
      </c>
      <c r="D2" s="2" t="s">
        <v>649</v>
      </c>
      <c r="E2" s="2">
        <v>19</v>
      </c>
      <c r="F2" s="2">
        <v>285</v>
      </c>
      <c r="G2" s="2">
        <v>55.15</v>
      </c>
    </row>
    <row r="3" spans="1:7" ht="16" x14ac:dyDescent="0.2">
      <c r="A3" s="2" t="s">
        <v>276</v>
      </c>
      <c r="B3" s="2" t="s">
        <v>559</v>
      </c>
      <c r="C3" s="2" t="s">
        <v>649</v>
      </c>
      <c r="D3" s="2" t="s">
        <v>650</v>
      </c>
      <c r="E3" s="2">
        <v>36.5</v>
      </c>
      <c r="F3" s="2">
        <v>1487</v>
      </c>
      <c r="G3" s="2">
        <v>74.180000000000007</v>
      </c>
    </row>
    <row r="4" spans="1:7" ht="16" x14ac:dyDescent="0.2">
      <c r="A4" s="2" t="s">
        <v>276</v>
      </c>
      <c r="B4" s="2" t="s">
        <v>559</v>
      </c>
      <c r="C4" s="2" t="s">
        <v>650</v>
      </c>
      <c r="D4" s="2" t="s">
        <v>662</v>
      </c>
      <c r="E4" s="2">
        <v>26.52</v>
      </c>
      <c r="F4" s="2">
        <v>1164</v>
      </c>
      <c r="G4" s="2">
        <v>36.74</v>
      </c>
    </row>
    <row r="5" spans="1:7" ht="16" x14ac:dyDescent="0.2">
      <c r="A5" s="2" t="s">
        <v>276</v>
      </c>
      <c r="B5" s="2" t="s">
        <v>559</v>
      </c>
      <c r="C5" s="2" t="s">
        <v>662</v>
      </c>
      <c r="D5" s="2" t="s">
        <v>680</v>
      </c>
      <c r="E5" s="2">
        <v>22.75</v>
      </c>
      <c r="F5" s="2">
        <v>424</v>
      </c>
      <c r="G5" s="2">
        <v>11.81</v>
      </c>
    </row>
    <row r="6" spans="1:7" ht="16" x14ac:dyDescent="0.2">
      <c r="A6" s="2" t="s">
        <v>276</v>
      </c>
      <c r="B6" s="2" t="s">
        <v>559</v>
      </c>
      <c r="C6" s="2" t="s">
        <v>680</v>
      </c>
      <c r="D6" s="2" t="s">
        <v>681</v>
      </c>
      <c r="E6" s="2">
        <v>28.45</v>
      </c>
      <c r="F6" s="2">
        <v>631</v>
      </c>
      <c r="G6" s="2">
        <v>14.95</v>
      </c>
    </row>
    <row r="7" spans="1:7" ht="16" x14ac:dyDescent="0.2">
      <c r="A7" s="2" t="s">
        <v>276</v>
      </c>
      <c r="B7" s="2" t="s">
        <v>559</v>
      </c>
      <c r="C7" s="2" t="s">
        <v>681</v>
      </c>
      <c r="D7" s="2" t="s">
        <v>676</v>
      </c>
      <c r="E7" s="2">
        <v>3.78</v>
      </c>
      <c r="F7" s="2">
        <v>5</v>
      </c>
      <c r="G7" s="2">
        <v>0.11</v>
      </c>
    </row>
    <row r="8" spans="1:7" ht="16" x14ac:dyDescent="0.2">
      <c r="A8" s="2" t="s">
        <v>276</v>
      </c>
      <c r="B8" s="2" t="s">
        <v>559</v>
      </c>
      <c r="C8" s="2" t="s">
        <v>676</v>
      </c>
      <c r="D8" s="2" t="s">
        <v>677</v>
      </c>
      <c r="E8" s="2">
        <v>13.3</v>
      </c>
      <c r="F8" s="2">
        <v>742</v>
      </c>
      <c r="G8" s="2">
        <v>14.93</v>
      </c>
    </row>
    <row r="9" spans="1:7" ht="16" x14ac:dyDescent="0.2">
      <c r="A9" s="2" t="s">
        <v>276</v>
      </c>
      <c r="B9" s="2" t="s">
        <v>559</v>
      </c>
      <c r="C9" s="2" t="s">
        <v>677</v>
      </c>
      <c r="D9" s="2" t="s">
        <v>794</v>
      </c>
      <c r="E9" s="2">
        <v>2.87</v>
      </c>
      <c r="F9" s="2">
        <v>-171</v>
      </c>
      <c r="G9" s="2">
        <v>-3.57</v>
      </c>
    </row>
    <row r="10" spans="1:7" ht="16" x14ac:dyDescent="0.2">
      <c r="A10" s="2" t="s">
        <v>276</v>
      </c>
      <c r="B10" s="2" t="s">
        <v>559</v>
      </c>
      <c r="C10" s="2" t="s">
        <v>794</v>
      </c>
      <c r="D10" s="2" t="s">
        <v>604</v>
      </c>
      <c r="E10" s="2">
        <v>7.83</v>
      </c>
      <c r="F10" s="2">
        <v>182</v>
      </c>
      <c r="G10" s="2">
        <v>3.65</v>
      </c>
    </row>
    <row r="11" spans="1:7" ht="16" x14ac:dyDescent="0.2">
      <c r="A11" s="2" t="s">
        <v>276</v>
      </c>
      <c r="B11" s="2" t="s">
        <v>559</v>
      </c>
      <c r="C11" s="2" t="s">
        <v>604</v>
      </c>
      <c r="D11" s="2" t="s">
        <v>605</v>
      </c>
      <c r="E11" s="2">
        <v>19.98</v>
      </c>
      <c r="F11" s="2">
        <v>4429</v>
      </c>
      <c r="G11" s="2">
        <v>47.07</v>
      </c>
    </row>
    <row r="12" spans="1:7" ht="16" x14ac:dyDescent="0.2">
      <c r="A12" s="2" t="s">
        <v>276</v>
      </c>
      <c r="B12" s="2" t="s">
        <v>559</v>
      </c>
      <c r="C12" s="2" t="s">
        <v>605</v>
      </c>
      <c r="D12" s="2" t="s">
        <v>795</v>
      </c>
      <c r="E12" s="2">
        <v>11.72</v>
      </c>
      <c r="F12" s="2">
        <v>666</v>
      </c>
      <c r="G12" s="2">
        <v>6.61</v>
      </c>
    </row>
    <row r="13" spans="1:7" ht="16" x14ac:dyDescent="0.2">
      <c r="A13" s="2" t="s">
        <v>276</v>
      </c>
      <c r="B13" s="2" t="s">
        <v>559</v>
      </c>
      <c r="C13" s="2" t="s">
        <v>795</v>
      </c>
      <c r="D13" s="2" t="s">
        <v>623</v>
      </c>
      <c r="E13" s="2">
        <v>11.68</v>
      </c>
      <c r="F13" s="2">
        <v>2793</v>
      </c>
      <c r="G13" s="2">
        <v>21.7</v>
      </c>
    </row>
    <row r="14" spans="1:7" ht="16" x14ac:dyDescent="0.2">
      <c r="A14" s="2" t="s">
        <v>276</v>
      </c>
      <c r="B14" s="2" t="s">
        <v>559</v>
      </c>
      <c r="C14" s="2" t="s">
        <v>623</v>
      </c>
      <c r="D14" s="2" t="s">
        <v>624</v>
      </c>
      <c r="E14" s="2">
        <v>21.38</v>
      </c>
      <c r="F14" s="2">
        <v>3335</v>
      </c>
      <c r="G14" s="2">
        <v>20.58</v>
      </c>
    </row>
    <row r="15" spans="1:7" ht="16" x14ac:dyDescent="0.2">
      <c r="A15" s="2" t="s">
        <v>276</v>
      </c>
      <c r="B15" s="2" t="s">
        <v>559</v>
      </c>
      <c r="C15" s="2" t="s">
        <v>624</v>
      </c>
      <c r="D15" s="2" t="s">
        <v>587</v>
      </c>
      <c r="E15" s="2">
        <v>25.4</v>
      </c>
      <c r="F15" s="2">
        <v>2729</v>
      </c>
      <c r="G15" s="2">
        <v>14.41</v>
      </c>
    </row>
    <row r="16" spans="1:7" ht="16" x14ac:dyDescent="0.2">
      <c r="A16" s="2" t="s">
        <v>276</v>
      </c>
      <c r="B16" s="2" t="s">
        <v>559</v>
      </c>
      <c r="C16" s="2" t="s">
        <v>587</v>
      </c>
      <c r="D16" s="2" t="s">
        <v>581</v>
      </c>
      <c r="E16" s="2">
        <v>22.62</v>
      </c>
      <c r="F16" s="2">
        <v>8485</v>
      </c>
      <c r="G16" s="2">
        <v>30.95</v>
      </c>
    </row>
    <row r="17" spans="1:7" ht="16" x14ac:dyDescent="0.2">
      <c r="A17" s="2" t="s">
        <v>276</v>
      </c>
      <c r="B17" s="2" t="s">
        <v>559</v>
      </c>
      <c r="C17" s="2" t="s">
        <v>581</v>
      </c>
      <c r="D17" s="2" t="s">
        <v>582</v>
      </c>
      <c r="E17" s="2">
        <v>24.22</v>
      </c>
      <c r="F17" s="2">
        <v>10674</v>
      </c>
      <c r="G17" s="2">
        <v>28.02</v>
      </c>
    </row>
    <row r="18" spans="1:7" ht="16" x14ac:dyDescent="0.2">
      <c r="A18" s="2" t="s">
        <v>276</v>
      </c>
      <c r="B18" s="2" t="s">
        <v>559</v>
      </c>
      <c r="C18" s="2" t="s">
        <v>582</v>
      </c>
      <c r="D18" s="2" t="s">
        <v>706</v>
      </c>
      <c r="E18" s="2">
        <v>0.05</v>
      </c>
      <c r="F18" s="2">
        <v>-19</v>
      </c>
      <c r="G18" s="2">
        <v>-0.05</v>
      </c>
    </row>
    <row r="19" spans="1:7" ht="16" x14ac:dyDescent="0.2">
      <c r="A19" s="2" t="s">
        <v>276</v>
      </c>
      <c r="B19" s="2" t="s">
        <v>559</v>
      </c>
      <c r="C19" s="2" t="s">
        <v>706</v>
      </c>
      <c r="D19" s="2" t="s">
        <v>707</v>
      </c>
      <c r="E19" s="2">
        <v>15.45</v>
      </c>
      <c r="F19" s="2">
        <v>0</v>
      </c>
      <c r="G19" s="2">
        <v>0</v>
      </c>
    </row>
    <row r="20" spans="1:7" ht="16" x14ac:dyDescent="0.2">
      <c r="A20" s="2" t="s">
        <v>276</v>
      </c>
      <c r="B20" s="2" t="s">
        <v>559</v>
      </c>
      <c r="C20" s="2" t="s">
        <v>707</v>
      </c>
      <c r="D20" s="2" t="s">
        <v>796</v>
      </c>
      <c r="E20" s="2">
        <v>6.85</v>
      </c>
      <c r="F20" s="2">
        <v>3979</v>
      </c>
      <c r="G20" s="2">
        <v>9.4600000000000009</v>
      </c>
    </row>
    <row r="21" spans="1:7" ht="16" x14ac:dyDescent="0.2">
      <c r="A21" s="2" t="s">
        <v>276</v>
      </c>
      <c r="B21" s="2" t="s">
        <v>559</v>
      </c>
      <c r="C21" s="2" t="s">
        <v>796</v>
      </c>
      <c r="D21" s="2" t="s">
        <v>596</v>
      </c>
      <c r="E21" s="2">
        <v>9.15</v>
      </c>
      <c r="F21" s="2">
        <v>-21</v>
      </c>
      <c r="G21" s="2">
        <v>-0.05</v>
      </c>
    </row>
    <row r="22" spans="1:7" ht="16" x14ac:dyDescent="0.2">
      <c r="A22" s="2" t="s">
        <v>276</v>
      </c>
      <c r="B22" s="2" t="s">
        <v>559</v>
      </c>
      <c r="C22" s="2" t="s">
        <v>596</v>
      </c>
      <c r="D22" s="2" t="s">
        <v>597</v>
      </c>
      <c r="E22" s="2">
        <v>19.95</v>
      </c>
      <c r="F22" s="2">
        <v>6308</v>
      </c>
      <c r="G22" s="2">
        <v>13.05</v>
      </c>
    </row>
    <row r="23" spans="1:7" ht="16" x14ac:dyDescent="0.2">
      <c r="A23" s="2" t="s">
        <v>276</v>
      </c>
      <c r="B23" s="2" t="s">
        <v>559</v>
      </c>
      <c r="C23" s="2" t="s">
        <v>597</v>
      </c>
      <c r="D23" s="2" t="s">
        <v>705</v>
      </c>
      <c r="E23" s="2">
        <v>15.05</v>
      </c>
      <c r="F23" s="2">
        <v>2</v>
      </c>
      <c r="G23" s="2">
        <v>0</v>
      </c>
    </row>
    <row r="24" spans="1:7" ht="16" x14ac:dyDescent="0.2">
      <c r="A24" s="2" t="s">
        <v>276</v>
      </c>
      <c r="B24" s="2" t="s">
        <v>559</v>
      </c>
      <c r="C24" s="2" t="s">
        <v>705</v>
      </c>
      <c r="D24" s="2" t="s">
        <v>797</v>
      </c>
      <c r="E24" s="2">
        <v>9.3000000000000007</v>
      </c>
      <c r="F24" s="2">
        <v>2137</v>
      </c>
      <c r="G24" s="2">
        <v>4.2300000000000004</v>
      </c>
    </row>
    <row r="25" spans="1:7" ht="16" x14ac:dyDescent="0.2">
      <c r="A25" s="2" t="s">
        <v>276</v>
      </c>
      <c r="B25" s="2" t="s">
        <v>559</v>
      </c>
      <c r="C25" s="2" t="s">
        <v>797</v>
      </c>
      <c r="D25" s="2" t="s">
        <v>798</v>
      </c>
      <c r="E25" s="2">
        <v>8.1999999999999993</v>
      </c>
      <c r="F25" s="2">
        <v>0</v>
      </c>
      <c r="G25" s="2">
        <v>0</v>
      </c>
    </row>
    <row r="26" spans="1:7" ht="16" x14ac:dyDescent="0.2">
      <c r="A26" s="2" t="s">
        <v>276</v>
      </c>
      <c r="B26" s="2" t="s">
        <v>559</v>
      </c>
      <c r="C26" s="2" t="s">
        <v>798</v>
      </c>
      <c r="D26" s="2" t="s">
        <v>598</v>
      </c>
      <c r="E26" s="2">
        <v>8.27</v>
      </c>
      <c r="F26" s="2">
        <v>1451</v>
      </c>
      <c r="G26" s="2">
        <v>2.79</v>
      </c>
    </row>
    <row r="27" spans="1:7" ht="16" x14ac:dyDescent="0.2">
      <c r="A27" s="2" t="s">
        <v>276</v>
      </c>
      <c r="B27" s="2" t="s">
        <v>559</v>
      </c>
      <c r="C27" s="2" t="s">
        <v>598</v>
      </c>
      <c r="D27" s="2" t="s">
        <v>599</v>
      </c>
      <c r="E27" s="2">
        <v>30.63</v>
      </c>
      <c r="F27" s="2">
        <v>6190</v>
      </c>
      <c r="G27" s="2">
        <v>10.65</v>
      </c>
    </row>
    <row r="28" spans="1:7" ht="16" x14ac:dyDescent="0.2">
      <c r="A28" s="2" t="s">
        <v>276</v>
      </c>
      <c r="B28" s="2" t="s">
        <v>559</v>
      </c>
      <c r="C28" s="2" t="s">
        <v>599</v>
      </c>
      <c r="D28" s="2" t="s">
        <v>626</v>
      </c>
      <c r="E28" s="2">
        <v>22.65</v>
      </c>
      <c r="F28" s="2">
        <v>2754</v>
      </c>
      <c r="G28" s="2">
        <v>4.5199999999999996</v>
      </c>
    </row>
    <row r="29" spans="1:7" ht="16" x14ac:dyDescent="0.2">
      <c r="A29" s="2" t="s">
        <v>276</v>
      </c>
      <c r="B29" s="2" t="s">
        <v>559</v>
      </c>
      <c r="C29" s="2" t="s">
        <v>626</v>
      </c>
      <c r="D29" s="2" t="s">
        <v>634</v>
      </c>
      <c r="E29" s="2">
        <v>22.2</v>
      </c>
      <c r="F29" s="2">
        <v>2480</v>
      </c>
      <c r="G29" s="2">
        <v>3.91</v>
      </c>
    </row>
    <row r="30" spans="1:7" ht="16" x14ac:dyDescent="0.2">
      <c r="A30" s="2" t="s">
        <v>276</v>
      </c>
      <c r="B30" s="2" t="s">
        <v>559</v>
      </c>
      <c r="C30" s="2" t="s">
        <v>634</v>
      </c>
      <c r="D30" s="2" t="s">
        <v>663</v>
      </c>
      <c r="E30" s="2">
        <v>27.43</v>
      </c>
      <c r="F30" s="2">
        <v>990</v>
      </c>
      <c r="G30" s="2">
        <v>1.54</v>
      </c>
    </row>
    <row r="31" spans="1:7" ht="16" x14ac:dyDescent="0.2">
      <c r="A31" s="2" t="s">
        <v>276</v>
      </c>
      <c r="B31" s="2" t="s">
        <v>559</v>
      </c>
      <c r="C31" s="2" t="s">
        <v>663</v>
      </c>
      <c r="D31" s="2" t="s">
        <v>682</v>
      </c>
      <c r="E31" s="2">
        <v>18.72</v>
      </c>
      <c r="F31" s="2">
        <v>435</v>
      </c>
      <c r="G31" s="2">
        <v>0.67</v>
      </c>
    </row>
    <row r="32" spans="1:7" ht="16" x14ac:dyDescent="0.2">
      <c r="A32" s="2" t="s">
        <v>276</v>
      </c>
      <c r="B32" s="2" t="s">
        <v>559</v>
      </c>
      <c r="C32" s="2" t="s">
        <v>682</v>
      </c>
      <c r="D32" s="2" t="s">
        <v>647</v>
      </c>
      <c r="E32" s="2">
        <v>26.23</v>
      </c>
      <c r="F32" s="2">
        <v>499</v>
      </c>
      <c r="G32" s="2">
        <v>0.76</v>
      </c>
    </row>
    <row r="33" spans="1:7" ht="16" x14ac:dyDescent="0.2">
      <c r="A33" s="2" t="s">
        <v>276</v>
      </c>
      <c r="B33" s="2" t="s">
        <v>559</v>
      </c>
      <c r="C33" s="2" t="s">
        <v>647</v>
      </c>
      <c r="D33" s="2" t="s">
        <v>648</v>
      </c>
      <c r="E33" s="2">
        <v>22.18</v>
      </c>
      <c r="F33" s="2">
        <v>1599</v>
      </c>
      <c r="G33" s="2">
        <v>2.39</v>
      </c>
    </row>
    <row r="34" spans="1:7" ht="16" x14ac:dyDescent="0.2">
      <c r="A34" s="2" t="s">
        <v>276</v>
      </c>
      <c r="B34" s="2" t="s">
        <v>559</v>
      </c>
      <c r="C34" s="2" t="s">
        <v>648</v>
      </c>
      <c r="D34" s="2" t="s">
        <v>608</v>
      </c>
      <c r="E34" s="2">
        <v>2.68</v>
      </c>
      <c r="F34" s="2">
        <v>33</v>
      </c>
      <c r="G34" s="2">
        <v>0.05</v>
      </c>
    </row>
    <row r="35" spans="1:7" ht="16" x14ac:dyDescent="0.2">
      <c r="A35" s="2" t="s">
        <v>276</v>
      </c>
      <c r="B35" s="2" t="s">
        <v>559</v>
      </c>
      <c r="C35" s="2" t="s">
        <v>608</v>
      </c>
      <c r="D35" s="2" t="s">
        <v>609</v>
      </c>
      <c r="E35" s="2">
        <v>46.07</v>
      </c>
      <c r="F35" s="2">
        <v>4273</v>
      </c>
      <c r="G35" s="2">
        <v>6</v>
      </c>
    </row>
    <row r="36" spans="1:7" ht="16" x14ac:dyDescent="0.2">
      <c r="A36" s="2" t="s">
        <v>276</v>
      </c>
      <c r="B36" s="2" t="s">
        <v>559</v>
      </c>
      <c r="C36" s="2" t="s">
        <v>609</v>
      </c>
      <c r="D36" s="2" t="s">
        <v>617</v>
      </c>
      <c r="E36" s="2">
        <v>27.9</v>
      </c>
      <c r="F36" s="2">
        <v>2168</v>
      </c>
      <c r="G36" s="2">
        <v>2.96</v>
      </c>
    </row>
    <row r="37" spans="1:7" ht="16" x14ac:dyDescent="0.2">
      <c r="A37" s="2" t="s">
        <v>276</v>
      </c>
      <c r="B37" s="2" t="s">
        <v>559</v>
      </c>
      <c r="C37" s="2" t="s">
        <v>617</v>
      </c>
      <c r="D37" s="2" t="s">
        <v>618</v>
      </c>
      <c r="E37" s="2">
        <v>18.57</v>
      </c>
      <c r="F37" s="2">
        <v>3622</v>
      </c>
      <c r="G37" s="2">
        <v>4.71</v>
      </c>
    </row>
    <row r="38" spans="1:7" ht="16" x14ac:dyDescent="0.2">
      <c r="A38" s="2" t="s">
        <v>276</v>
      </c>
      <c r="B38" s="2" t="s">
        <v>559</v>
      </c>
      <c r="C38" s="2" t="s">
        <v>618</v>
      </c>
      <c r="D38" s="2" t="s">
        <v>621</v>
      </c>
      <c r="E38" s="2">
        <v>9.9700000000000006</v>
      </c>
      <c r="F38" s="2">
        <v>41</v>
      </c>
      <c r="G38" s="2">
        <v>0.05</v>
      </c>
    </row>
    <row r="39" spans="1:7" ht="16" x14ac:dyDescent="0.2">
      <c r="A39" s="2" t="s">
        <v>276</v>
      </c>
      <c r="B39" s="2" t="s">
        <v>559</v>
      </c>
      <c r="C39" s="2" t="s">
        <v>621</v>
      </c>
      <c r="D39" s="2" t="s">
        <v>622</v>
      </c>
      <c r="E39" s="2">
        <v>19.77</v>
      </c>
      <c r="F39" s="2">
        <v>3350</v>
      </c>
      <c r="G39" s="2">
        <v>4.17</v>
      </c>
    </row>
    <row r="40" spans="1:7" ht="16" x14ac:dyDescent="0.2">
      <c r="A40" s="2" t="s">
        <v>276</v>
      </c>
      <c r="B40" s="2" t="s">
        <v>559</v>
      </c>
      <c r="C40" s="2" t="s">
        <v>622</v>
      </c>
      <c r="D40" s="2" t="s">
        <v>602</v>
      </c>
      <c r="E40" s="2">
        <v>18.100000000000001</v>
      </c>
      <c r="F40" s="2">
        <v>1080</v>
      </c>
      <c r="G40" s="2">
        <v>1.33</v>
      </c>
    </row>
    <row r="41" spans="1:7" ht="16" x14ac:dyDescent="0.2">
      <c r="A41" s="2" t="s">
        <v>276</v>
      </c>
      <c r="B41" s="2" t="s">
        <v>559</v>
      </c>
      <c r="C41" s="2" t="s">
        <v>602</v>
      </c>
      <c r="D41" s="2" t="s">
        <v>603</v>
      </c>
      <c r="E41" s="2">
        <v>29.68</v>
      </c>
      <c r="F41" s="2">
        <v>4580</v>
      </c>
      <c r="G41" s="2">
        <v>5.32</v>
      </c>
    </row>
    <row r="42" spans="1:7" ht="16" x14ac:dyDescent="0.2">
      <c r="A42" s="2" t="s">
        <v>276</v>
      </c>
      <c r="B42" s="2" t="s">
        <v>559</v>
      </c>
      <c r="C42" s="2" t="s">
        <v>603</v>
      </c>
      <c r="D42" s="2" t="s">
        <v>646</v>
      </c>
      <c r="E42" s="2">
        <v>18.149999999999999</v>
      </c>
      <c r="F42" s="2">
        <v>1788</v>
      </c>
      <c r="G42" s="2">
        <v>2.04</v>
      </c>
    </row>
    <row r="43" spans="1:7" ht="16" x14ac:dyDescent="0.2">
      <c r="A43" s="2" t="s">
        <v>276</v>
      </c>
      <c r="B43" s="2" t="s">
        <v>559</v>
      </c>
      <c r="C43" s="2" t="s">
        <v>646</v>
      </c>
      <c r="D43" s="2" t="s">
        <v>594</v>
      </c>
      <c r="E43" s="2">
        <v>29.07</v>
      </c>
      <c r="F43" s="2">
        <v>938</v>
      </c>
      <c r="G43" s="2">
        <v>1.06</v>
      </c>
    </row>
    <row r="44" spans="1:7" ht="16" x14ac:dyDescent="0.2">
      <c r="A44" s="2" t="s">
        <v>276</v>
      </c>
      <c r="B44" s="2" t="s">
        <v>559</v>
      </c>
      <c r="C44" s="2" t="s">
        <v>594</v>
      </c>
      <c r="D44" s="2" t="s">
        <v>595</v>
      </c>
      <c r="E44" s="2">
        <v>18.97</v>
      </c>
      <c r="F44" s="2">
        <v>7714</v>
      </c>
      <c r="G44" s="2">
        <v>8</v>
      </c>
    </row>
    <row r="45" spans="1:7" ht="16" x14ac:dyDescent="0.2">
      <c r="A45" s="2" t="s">
        <v>276</v>
      </c>
      <c r="B45" s="2" t="s">
        <v>559</v>
      </c>
      <c r="C45" s="2" t="s">
        <v>595</v>
      </c>
      <c r="D45" s="2" t="s">
        <v>699</v>
      </c>
      <c r="E45" s="2">
        <v>22.27</v>
      </c>
      <c r="F45" s="2">
        <v>48</v>
      </c>
      <c r="G45" s="2">
        <v>0.05</v>
      </c>
    </row>
    <row r="46" spans="1:7" ht="16" x14ac:dyDescent="0.2">
      <c r="A46" s="2" t="s">
        <v>276</v>
      </c>
      <c r="B46" s="2" t="s">
        <v>559</v>
      </c>
      <c r="C46" s="2" t="s">
        <v>699</v>
      </c>
      <c r="D46" s="2" t="s">
        <v>799</v>
      </c>
      <c r="E46" s="2">
        <v>7.82</v>
      </c>
      <c r="F46" s="2">
        <v>3858</v>
      </c>
      <c r="G46" s="2">
        <v>3.84</v>
      </c>
    </row>
    <row r="47" spans="1:7" ht="16" x14ac:dyDescent="0.2">
      <c r="A47" s="2" t="s">
        <v>276</v>
      </c>
      <c r="B47" s="2" t="s">
        <v>559</v>
      </c>
      <c r="C47" s="2" t="s">
        <v>799</v>
      </c>
      <c r="D47" s="2" t="s">
        <v>800</v>
      </c>
      <c r="E47" s="2">
        <v>10.68</v>
      </c>
      <c r="F47" s="2">
        <v>50</v>
      </c>
      <c r="G47" s="2">
        <v>0.05</v>
      </c>
    </row>
    <row r="48" spans="1:7" ht="16" x14ac:dyDescent="0.2">
      <c r="A48" s="2" t="s">
        <v>276</v>
      </c>
      <c r="B48" s="2" t="s">
        <v>559</v>
      </c>
      <c r="C48" s="2" t="s">
        <v>800</v>
      </c>
      <c r="D48" s="2" t="s">
        <v>674</v>
      </c>
      <c r="E48" s="2">
        <v>11</v>
      </c>
      <c r="F48" s="2">
        <v>1556</v>
      </c>
      <c r="G48" s="2">
        <v>1.53</v>
      </c>
    </row>
    <row r="49" spans="1:7" ht="16" x14ac:dyDescent="0.2">
      <c r="A49" s="2" t="s">
        <v>276</v>
      </c>
      <c r="B49" s="2" t="s">
        <v>559</v>
      </c>
      <c r="C49" s="2" t="s">
        <v>674</v>
      </c>
      <c r="D49" s="2" t="s">
        <v>675</v>
      </c>
      <c r="E49" s="2">
        <v>22.97</v>
      </c>
      <c r="F49" s="2">
        <v>773</v>
      </c>
      <c r="G49" s="2">
        <v>0.75</v>
      </c>
    </row>
    <row r="50" spans="1:7" ht="16" x14ac:dyDescent="0.2">
      <c r="A50" s="2" t="s">
        <v>276</v>
      </c>
      <c r="B50" s="2" t="s">
        <v>559</v>
      </c>
      <c r="C50" s="2" t="s">
        <v>675</v>
      </c>
      <c r="D50" s="2" t="s">
        <v>651</v>
      </c>
      <c r="E50" s="2">
        <v>1.32</v>
      </c>
      <c r="F50" s="2">
        <v>51</v>
      </c>
      <c r="G50" s="2">
        <v>0.05</v>
      </c>
    </row>
    <row r="51" spans="1:7" ht="16" x14ac:dyDescent="0.2">
      <c r="A51" s="2" t="s">
        <v>276</v>
      </c>
      <c r="B51" s="2" t="s">
        <v>559</v>
      </c>
      <c r="C51" s="2" t="s">
        <v>651</v>
      </c>
      <c r="D51" s="2" t="s">
        <v>652</v>
      </c>
      <c r="E51" s="2">
        <v>23.17</v>
      </c>
      <c r="F51" s="2">
        <v>1465</v>
      </c>
      <c r="G51" s="2">
        <v>1.41</v>
      </c>
    </row>
    <row r="52" spans="1:7" ht="16" x14ac:dyDescent="0.2">
      <c r="A52" s="2" t="s">
        <v>276</v>
      </c>
      <c r="B52" s="2" t="s">
        <v>559</v>
      </c>
      <c r="C52" s="2" t="s">
        <v>652</v>
      </c>
      <c r="D52" s="2" t="s">
        <v>655</v>
      </c>
      <c r="E52" s="2">
        <v>1.08</v>
      </c>
      <c r="F52" s="2">
        <v>51</v>
      </c>
      <c r="G52" s="2">
        <v>0.05</v>
      </c>
    </row>
    <row r="53" spans="1:7" ht="16" x14ac:dyDescent="0.2">
      <c r="A53" s="2" t="s">
        <v>276</v>
      </c>
      <c r="B53" s="2" t="s">
        <v>559</v>
      </c>
      <c r="C53" s="2" t="s">
        <v>655</v>
      </c>
      <c r="D53" s="2" t="s">
        <v>612</v>
      </c>
      <c r="E53" s="2">
        <v>19.5</v>
      </c>
      <c r="F53" s="2">
        <v>1383</v>
      </c>
      <c r="G53" s="2">
        <v>1.31</v>
      </c>
    </row>
    <row r="54" spans="1:7" ht="16" x14ac:dyDescent="0.2">
      <c r="A54" s="2" t="s">
        <v>276</v>
      </c>
      <c r="B54" s="2" t="s">
        <v>559</v>
      </c>
      <c r="C54" s="2" t="s">
        <v>612</v>
      </c>
      <c r="D54" s="2" t="s">
        <v>613</v>
      </c>
      <c r="E54" s="2">
        <v>29.13</v>
      </c>
      <c r="F54" s="2">
        <v>3899</v>
      </c>
      <c r="G54" s="2">
        <v>3.56</v>
      </c>
    </row>
    <row r="55" spans="1:7" ht="16" x14ac:dyDescent="0.2">
      <c r="A55" s="2" t="s">
        <v>276</v>
      </c>
      <c r="B55" s="2" t="s">
        <v>559</v>
      </c>
      <c r="C55" s="2" t="s">
        <v>613</v>
      </c>
      <c r="D55" s="2" t="s">
        <v>637</v>
      </c>
      <c r="E55" s="2">
        <v>21.72</v>
      </c>
      <c r="F55" s="2">
        <v>2010</v>
      </c>
      <c r="G55" s="2">
        <v>1.8</v>
      </c>
    </row>
    <row r="56" spans="1:7" ht="16" x14ac:dyDescent="0.2">
      <c r="A56" s="2" t="s">
        <v>276</v>
      </c>
      <c r="B56" s="2" t="s">
        <v>559</v>
      </c>
      <c r="C56" s="2" t="s">
        <v>637</v>
      </c>
      <c r="D56" s="2" t="s">
        <v>566</v>
      </c>
      <c r="E56" s="2">
        <v>1.1200000000000001</v>
      </c>
      <c r="F56" s="2">
        <v>55</v>
      </c>
      <c r="G56" s="2">
        <v>0.05</v>
      </c>
    </row>
    <row r="57" spans="1:7" ht="16" x14ac:dyDescent="0.2">
      <c r="A57" s="2" t="s">
        <v>276</v>
      </c>
      <c r="B57" s="2" t="s">
        <v>559</v>
      </c>
      <c r="C57" s="2" t="s">
        <v>566</v>
      </c>
      <c r="D57" s="2" t="s">
        <v>567</v>
      </c>
      <c r="E57" s="2">
        <v>24.27</v>
      </c>
      <c r="F57" s="2">
        <v>29119</v>
      </c>
      <c r="G57" s="2">
        <v>20.68</v>
      </c>
    </row>
    <row r="58" spans="1:7" ht="16" x14ac:dyDescent="0.2">
      <c r="A58" s="2" t="s">
        <v>276</v>
      </c>
      <c r="B58" s="2" t="s">
        <v>559</v>
      </c>
      <c r="C58" s="2" t="s">
        <v>567</v>
      </c>
      <c r="D58" s="2" t="s">
        <v>570</v>
      </c>
      <c r="E58" s="2">
        <v>19.579999999999998</v>
      </c>
      <c r="F58" s="2">
        <v>16615</v>
      </c>
      <c r="G58" s="2">
        <v>10.56</v>
      </c>
    </row>
    <row r="59" spans="1:7" ht="16" x14ac:dyDescent="0.2">
      <c r="A59" s="2" t="s">
        <v>276</v>
      </c>
      <c r="B59" s="2" t="s">
        <v>559</v>
      </c>
      <c r="C59" s="2" t="s">
        <v>570</v>
      </c>
      <c r="D59" s="2" t="s">
        <v>573</v>
      </c>
      <c r="E59" s="2">
        <v>30.25</v>
      </c>
      <c r="F59" s="2">
        <v>7501</v>
      </c>
      <c r="G59" s="2">
        <v>4.55</v>
      </c>
    </row>
    <row r="60" spans="1:7" ht="16" x14ac:dyDescent="0.2">
      <c r="A60" s="2" t="s">
        <v>276</v>
      </c>
      <c r="B60" s="2" t="s">
        <v>559</v>
      </c>
      <c r="C60" s="2" t="s">
        <v>573</v>
      </c>
      <c r="D60" s="2" t="s">
        <v>574</v>
      </c>
      <c r="E60" s="2">
        <v>17.68</v>
      </c>
      <c r="F60" s="2">
        <v>15082</v>
      </c>
      <c r="G60" s="2">
        <v>8.3800000000000008</v>
      </c>
    </row>
    <row r="61" spans="1:7" ht="16" x14ac:dyDescent="0.2">
      <c r="A61" s="2" t="s">
        <v>276</v>
      </c>
      <c r="B61" s="2" t="s">
        <v>559</v>
      </c>
      <c r="C61" s="2" t="s">
        <v>574</v>
      </c>
      <c r="D61" s="2" t="s">
        <v>668</v>
      </c>
      <c r="E61" s="2">
        <v>15.08</v>
      </c>
      <c r="F61" s="2">
        <v>86</v>
      </c>
      <c r="G61" s="2">
        <v>0.05</v>
      </c>
    </row>
    <row r="62" spans="1:7" ht="16" x14ac:dyDescent="0.2">
      <c r="A62" s="2" t="s">
        <v>276</v>
      </c>
      <c r="B62" s="2" t="s">
        <v>559</v>
      </c>
      <c r="C62" s="2" t="s">
        <v>668</v>
      </c>
      <c r="D62" s="2" t="s">
        <v>669</v>
      </c>
      <c r="E62" s="2">
        <v>15.97</v>
      </c>
      <c r="F62" s="2">
        <v>870</v>
      </c>
      <c r="G62" s="2">
        <v>0.48</v>
      </c>
    </row>
    <row r="63" spans="1:7" ht="16" x14ac:dyDescent="0.2">
      <c r="A63" s="2" t="s">
        <v>276</v>
      </c>
      <c r="B63" s="2" t="s">
        <v>559</v>
      </c>
      <c r="C63" s="2" t="s">
        <v>669</v>
      </c>
      <c r="D63" s="2" t="s">
        <v>694</v>
      </c>
      <c r="E63" s="2">
        <v>17.8</v>
      </c>
      <c r="F63" s="2">
        <v>132</v>
      </c>
      <c r="G63" s="2">
        <v>7.0000000000000007E-2</v>
      </c>
    </row>
    <row r="64" spans="1:7" ht="16" x14ac:dyDescent="0.2">
      <c r="A64" s="2" t="s">
        <v>276</v>
      </c>
      <c r="B64" s="2" t="s">
        <v>559</v>
      </c>
      <c r="C64" s="2" t="s">
        <v>694</v>
      </c>
      <c r="D64" s="2" t="s">
        <v>692</v>
      </c>
      <c r="E64" s="2">
        <v>28.95</v>
      </c>
      <c r="F64" s="2">
        <v>80</v>
      </c>
      <c r="G64" s="2">
        <v>0.04</v>
      </c>
    </row>
    <row r="65" spans="1:7" ht="16" x14ac:dyDescent="0.2">
      <c r="A65" s="2" t="s">
        <v>276</v>
      </c>
      <c r="B65" s="2" t="s">
        <v>559</v>
      </c>
      <c r="C65" s="2" t="s">
        <v>692</v>
      </c>
      <c r="D65" s="2" t="s">
        <v>693</v>
      </c>
      <c r="E65" s="2">
        <v>18.72</v>
      </c>
      <c r="F65" s="2">
        <v>204</v>
      </c>
      <c r="G65" s="2">
        <v>0.11</v>
      </c>
    </row>
    <row r="66" spans="1:7" ht="16" x14ac:dyDescent="0.2">
      <c r="A66" s="2" t="s">
        <v>276</v>
      </c>
      <c r="B66" s="2" t="s">
        <v>559</v>
      </c>
      <c r="C66" s="2" t="s">
        <v>693</v>
      </c>
      <c r="D66" s="2" t="s">
        <v>696</v>
      </c>
      <c r="E66" s="2">
        <v>5.0199999999999996</v>
      </c>
      <c r="F66" s="2">
        <v>-53</v>
      </c>
      <c r="G66" s="2">
        <v>-0.03</v>
      </c>
    </row>
    <row r="67" spans="1:7" ht="16" x14ac:dyDescent="0.2">
      <c r="A67" s="2" t="s">
        <v>276</v>
      </c>
      <c r="B67" s="2" t="s">
        <v>559</v>
      </c>
      <c r="C67" s="2" t="s">
        <v>696</v>
      </c>
      <c r="D67" s="2" t="s">
        <v>697</v>
      </c>
      <c r="E67" s="2">
        <v>43</v>
      </c>
      <c r="F67" s="2">
        <v>87</v>
      </c>
      <c r="G67" s="2">
        <v>0.05</v>
      </c>
    </row>
    <row r="68" spans="1:7" ht="16" x14ac:dyDescent="0.2">
      <c r="A68" s="2" t="s">
        <v>276</v>
      </c>
      <c r="B68" s="2" t="s">
        <v>559</v>
      </c>
      <c r="C68" s="2" t="s">
        <v>697</v>
      </c>
      <c r="D68" s="2" t="s">
        <v>664</v>
      </c>
      <c r="E68" s="2">
        <v>3.02</v>
      </c>
      <c r="F68" s="2">
        <v>191</v>
      </c>
      <c r="G68" s="2">
        <v>0.1</v>
      </c>
    </row>
    <row r="69" spans="1:7" ht="16" x14ac:dyDescent="0.2">
      <c r="A69" s="2" t="s">
        <v>276</v>
      </c>
      <c r="B69" s="2" t="s">
        <v>559</v>
      </c>
      <c r="C69" s="2" t="s">
        <v>664</v>
      </c>
      <c r="D69" s="2" t="s">
        <v>665</v>
      </c>
      <c r="E69" s="2">
        <v>23.85</v>
      </c>
      <c r="F69" s="2">
        <v>872</v>
      </c>
      <c r="G69" s="2">
        <v>0.48</v>
      </c>
    </row>
    <row r="70" spans="1:7" ht="16" x14ac:dyDescent="0.2">
      <c r="A70" s="2" t="s">
        <v>276</v>
      </c>
      <c r="B70" s="2" t="s">
        <v>559</v>
      </c>
      <c r="C70" s="2" t="s">
        <v>665</v>
      </c>
      <c r="D70" s="2" t="s">
        <v>666</v>
      </c>
      <c r="E70" s="2">
        <v>0.15</v>
      </c>
      <c r="F70" s="2">
        <v>-785</v>
      </c>
      <c r="G70" s="2">
        <v>-0.43</v>
      </c>
    </row>
    <row r="71" spans="1:7" ht="16" x14ac:dyDescent="0.2">
      <c r="A71" s="2" t="s">
        <v>276</v>
      </c>
      <c r="B71" s="2" t="s">
        <v>559</v>
      </c>
      <c r="C71" s="2" t="s">
        <v>666</v>
      </c>
      <c r="D71" s="2" t="s">
        <v>667</v>
      </c>
      <c r="E71" s="2">
        <v>23.85</v>
      </c>
      <c r="F71" s="2">
        <v>872</v>
      </c>
      <c r="G71" s="2">
        <v>0.48</v>
      </c>
    </row>
    <row r="72" spans="1:7" ht="16" x14ac:dyDescent="0.2">
      <c r="A72" s="2" t="s">
        <v>276</v>
      </c>
      <c r="B72" s="2" t="s">
        <v>559</v>
      </c>
      <c r="C72" s="2" t="s">
        <v>667</v>
      </c>
      <c r="D72" s="2" t="s">
        <v>670</v>
      </c>
      <c r="E72" s="2">
        <v>1.82</v>
      </c>
      <c r="F72" s="2">
        <v>972</v>
      </c>
      <c r="G72" s="2">
        <v>0.53</v>
      </c>
    </row>
    <row r="73" spans="1:7" ht="16" x14ac:dyDescent="0.2">
      <c r="A73" s="2" t="s">
        <v>276</v>
      </c>
      <c r="B73" s="2" t="s">
        <v>559</v>
      </c>
      <c r="C73" s="2" t="s">
        <v>670</v>
      </c>
      <c r="D73" s="2" t="s">
        <v>671</v>
      </c>
      <c r="E73" s="2">
        <v>23.3</v>
      </c>
      <c r="F73" s="2">
        <v>862</v>
      </c>
      <c r="G73" s="2">
        <v>0.47</v>
      </c>
    </row>
    <row r="74" spans="1:7" ht="16" x14ac:dyDescent="0.2">
      <c r="A74" s="2" t="s">
        <v>276</v>
      </c>
      <c r="B74" s="2" t="s">
        <v>559</v>
      </c>
      <c r="C74" s="2" t="s">
        <v>671</v>
      </c>
      <c r="D74" s="2" t="s">
        <v>642</v>
      </c>
      <c r="E74" s="2">
        <v>44.52</v>
      </c>
      <c r="F74" s="2">
        <v>89</v>
      </c>
      <c r="G74" s="2">
        <v>0.05</v>
      </c>
    </row>
    <row r="75" spans="1:7" ht="16" x14ac:dyDescent="0.2">
      <c r="A75" s="2" t="s">
        <v>276</v>
      </c>
      <c r="B75" s="2" t="s">
        <v>559</v>
      </c>
      <c r="C75" s="2" t="s">
        <v>642</v>
      </c>
      <c r="D75" s="2" t="s">
        <v>643</v>
      </c>
      <c r="E75" s="2">
        <v>25.65</v>
      </c>
      <c r="F75" s="2">
        <v>1891</v>
      </c>
      <c r="G75" s="2">
        <v>1.01</v>
      </c>
    </row>
    <row r="76" spans="1:7" ht="16" x14ac:dyDescent="0.2">
      <c r="A76" s="2" t="s">
        <v>276</v>
      </c>
      <c r="B76" s="2" t="s">
        <v>559</v>
      </c>
      <c r="C76" s="2" t="s">
        <v>643</v>
      </c>
      <c r="D76" s="2" t="s">
        <v>801</v>
      </c>
      <c r="E76" s="2">
        <v>0.03</v>
      </c>
      <c r="F76" s="2">
        <v>-81</v>
      </c>
      <c r="G76" s="2">
        <v>-0.04</v>
      </c>
    </row>
    <row r="77" spans="1:7" ht="16" x14ac:dyDescent="0.2">
      <c r="A77" s="2" t="s">
        <v>276</v>
      </c>
      <c r="B77" s="2" t="s">
        <v>559</v>
      </c>
      <c r="C77" s="2" t="s">
        <v>801</v>
      </c>
      <c r="D77" s="2" t="s">
        <v>709</v>
      </c>
      <c r="E77" s="2">
        <v>8.33</v>
      </c>
      <c r="F77" s="2">
        <v>189</v>
      </c>
      <c r="G77" s="2">
        <v>0.1</v>
      </c>
    </row>
    <row r="78" spans="1:7" ht="16" x14ac:dyDescent="0.2">
      <c r="A78" s="2" t="s">
        <v>276</v>
      </c>
      <c r="B78" s="2" t="s">
        <v>559</v>
      </c>
      <c r="C78" s="2" t="s">
        <v>709</v>
      </c>
      <c r="D78" s="2" t="s">
        <v>710</v>
      </c>
      <c r="E78" s="2">
        <v>17.170000000000002</v>
      </c>
      <c r="F78" s="2">
        <v>0</v>
      </c>
      <c r="G78" s="2">
        <v>0</v>
      </c>
    </row>
    <row r="79" spans="1:7" ht="16" x14ac:dyDescent="0.2">
      <c r="A79" s="2" t="s">
        <v>276</v>
      </c>
      <c r="B79" s="2" t="s">
        <v>559</v>
      </c>
      <c r="C79" s="2" t="s">
        <v>710</v>
      </c>
      <c r="D79" s="2" t="s">
        <v>638</v>
      </c>
      <c r="E79" s="2">
        <v>1.52</v>
      </c>
      <c r="F79" s="2">
        <v>-54</v>
      </c>
      <c r="G79" s="2">
        <v>-0.03</v>
      </c>
    </row>
    <row r="80" spans="1:7" ht="16" x14ac:dyDescent="0.2">
      <c r="A80" s="2" t="s">
        <v>276</v>
      </c>
      <c r="B80" s="2" t="s">
        <v>559</v>
      </c>
      <c r="C80" s="2" t="s">
        <v>638</v>
      </c>
      <c r="D80" s="2" t="s">
        <v>639</v>
      </c>
      <c r="E80" s="2">
        <v>19.02</v>
      </c>
      <c r="F80" s="2">
        <v>1979</v>
      </c>
      <c r="G80" s="2">
        <v>1.05</v>
      </c>
    </row>
    <row r="81" spans="1:7" ht="16" x14ac:dyDescent="0.2">
      <c r="A81" s="2" t="s">
        <v>276</v>
      </c>
      <c r="B81" s="2" t="s">
        <v>559</v>
      </c>
      <c r="C81" s="2" t="s">
        <v>639</v>
      </c>
      <c r="D81" s="2" t="s">
        <v>724</v>
      </c>
      <c r="E81" s="2">
        <v>9.9700000000000006</v>
      </c>
      <c r="F81" s="2">
        <v>85</v>
      </c>
      <c r="G81" s="2">
        <v>0.04</v>
      </c>
    </row>
    <row r="82" spans="1:7" ht="16" x14ac:dyDescent="0.2">
      <c r="A82" s="2" t="s">
        <v>276</v>
      </c>
      <c r="B82" s="2" t="s">
        <v>559</v>
      </c>
      <c r="C82" s="2" t="s">
        <v>724</v>
      </c>
      <c r="D82" s="2" t="s">
        <v>725</v>
      </c>
      <c r="E82" s="2">
        <v>16.62</v>
      </c>
      <c r="F82" s="2">
        <v>-68</v>
      </c>
      <c r="G82" s="2">
        <v>-0.04</v>
      </c>
    </row>
    <row r="83" spans="1:7" ht="16" x14ac:dyDescent="0.2">
      <c r="A83" s="2" t="s">
        <v>276</v>
      </c>
      <c r="B83" s="2" t="s">
        <v>559</v>
      </c>
      <c r="C83" s="2" t="s">
        <v>725</v>
      </c>
      <c r="D83" s="2" t="s">
        <v>726</v>
      </c>
      <c r="E83" s="2">
        <v>7.38</v>
      </c>
      <c r="F83" s="2">
        <v>91</v>
      </c>
      <c r="G83" s="2">
        <v>0.05</v>
      </c>
    </row>
    <row r="84" spans="1:7" ht="16" x14ac:dyDescent="0.2">
      <c r="A84" s="2" t="s">
        <v>276</v>
      </c>
      <c r="B84" s="2" t="s">
        <v>559</v>
      </c>
      <c r="C84" s="2" t="s">
        <v>726</v>
      </c>
      <c r="D84" s="2" t="s">
        <v>727</v>
      </c>
      <c r="E84" s="2">
        <v>38.72</v>
      </c>
      <c r="F84" s="2">
        <v>-83</v>
      </c>
      <c r="G84" s="2">
        <v>-0.04</v>
      </c>
    </row>
    <row r="85" spans="1:7" ht="16" x14ac:dyDescent="0.2">
      <c r="A85" s="2" t="s">
        <v>276</v>
      </c>
      <c r="B85" s="2" t="s">
        <v>559</v>
      </c>
      <c r="C85" s="2" t="s">
        <v>727</v>
      </c>
      <c r="D85" s="2" t="s">
        <v>728</v>
      </c>
      <c r="E85" s="2">
        <v>2.78</v>
      </c>
      <c r="F85" s="2">
        <v>83</v>
      </c>
      <c r="G85" s="2">
        <v>0.04</v>
      </c>
    </row>
    <row r="86" spans="1:7" ht="16" x14ac:dyDescent="0.2">
      <c r="A86" s="2" t="s">
        <v>276</v>
      </c>
      <c r="B86" s="2" t="s">
        <v>559</v>
      </c>
      <c r="C86" s="2" t="s">
        <v>728</v>
      </c>
      <c r="D86" s="2" t="s">
        <v>711</v>
      </c>
      <c r="E86" s="2">
        <v>140.25</v>
      </c>
      <c r="F86" s="2">
        <v>-83</v>
      </c>
      <c r="G86" s="2">
        <v>-0.04</v>
      </c>
    </row>
    <row r="87" spans="1:7" ht="16" x14ac:dyDescent="0.2">
      <c r="A87" s="2" t="s">
        <v>276</v>
      </c>
      <c r="B87" s="2" t="s">
        <v>559</v>
      </c>
      <c r="C87" s="2" t="s">
        <v>711</v>
      </c>
      <c r="D87" s="2" t="s">
        <v>712</v>
      </c>
      <c r="E87" s="2">
        <v>53.57</v>
      </c>
      <c r="F87" s="2">
        <v>0</v>
      </c>
      <c r="G87" s="2">
        <v>0</v>
      </c>
    </row>
    <row r="88" spans="1:7" ht="16" x14ac:dyDescent="0.2">
      <c r="A88" s="2" t="s">
        <v>276</v>
      </c>
      <c r="B88" s="2" t="s">
        <v>559</v>
      </c>
      <c r="C88" s="2" t="s">
        <v>712</v>
      </c>
      <c r="D88" s="2" t="s">
        <v>713</v>
      </c>
      <c r="E88" s="2">
        <v>42.9</v>
      </c>
      <c r="F88" s="2">
        <v>0</v>
      </c>
      <c r="G88" s="2">
        <v>0</v>
      </c>
    </row>
    <row r="89" spans="1:7" ht="16" x14ac:dyDescent="0.2">
      <c r="A89" s="2" t="s">
        <v>276</v>
      </c>
      <c r="B89" s="2" t="s">
        <v>559</v>
      </c>
      <c r="C89" s="2" t="s">
        <v>713</v>
      </c>
      <c r="D89" s="2" t="s">
        <v>802</v>
      </c>
      <c r="E89" s="2">
        <v>3.28</v>
      </c>
      <c r="F89" s="2">
        <v>91</v>
      </c>
      <c r="G89" s="2">
        <v>0.05</v>
      </c>
    </row>
    <row r="90" spans="1:7" ht="16" x14ac:dyDescent="0.2">
      <c r="A90" s="2" t="s">
        <v>276</v>
      </c>
      <c r="B90" s="2" t="s">
        <v>803</v>
      </c>
      <c r="C90" s="2" t="s">
        <v>804</v>
      </c>
      <c r="D90" s="2" t="s">
        <v>805</v>
      </c>
      <c r="E90" s="2">
        <v>21.25</v>
      </c>
      <c r="F90" s="2">
        <v>250</v>
      </c>
      <c r="G90" s="2">
        <v>71.430000000000007</v>
      </c>
    </row>
    <row r="91" spans="1:7" ht="16" x14ac:dyDescent="0.2">
      <c r="A91" s="2" t="s">
        <v>276</v>
      </c>
      <c r="B91" s="2" t="s">
        <v>803</v>
      </c>
      <c r="C91" s="2" t="s">
        <v>805</v>
      </c>
      <c r="D91" s="2" t="s">
        <v>806</v>
      </c>
      <c r="E91" s="2">
        <v>22</v>
      </c>
      <c r="F91" s="2">
        <v>270</v>
      </c>
      <c r="G91" s="2">
        <v>43.55</v>
      </c>
    </row>
    <row r="92" spans="1:7" ht="16" x14ac:dyDescent="0.2">
      <c r="A92" s="2" t="s">
        <v>276</v>
      </c>
      <c r="B92" s="2" t="s">
        <v>803</v>
      </c>
      <c r="C92" s="2" t="s">
        <v>806</v>
      </c>
      <c r="D92" s="2" t="s">
        <v>807</v>
      </c>
      <c r="E92" s="2">
        <v>20</v>
      </c>
      <c r="F92" s="2">
        <v>680</v>
      </c>
      <c r="G92" s="2">
        <v>52.31</v>
      </c>
    </row>
    <row r="93" spans="1:7" ht="16" x14ac:dyDescent="0.2">
      <c r="A93" s="2" t="s">
        <v>276</v>
      </c>
      <c r="B93" s="2" t="s">
        <v>803</v>
      </c>
      <c r="C93" s="2" t="s">
        <v>807</v>
      </c>
      <c r="D93" s="2" t="s">
        <v>808</v>
      </c>
      <c r="E93" s="2">
        <v>27</v>
      </c>
      <c r="F93" s="2">
        <v>1606</v>
      </c>
      <c r="G93" s="2">
        <v>55.26</v>
      </c>
    </row>
    <row r="94" spans="1:7" ht="16" x14ac:dyDescent="0.2">
      <c r="A94" s="2" t="s">
        <v>276</v>
      </c>
      <c r="B94" s="2" t="s">
        <v>803</v>
      </c>
      <c r="C94" s="2" t="s">
        <v>808</v>
      </c>
      <c r="D94" s="2" t="s">
        <v>809</v>
      </c>
      <c r="E94" s="2">
        <v>24</v>
      </c>
      <c r="F94" s="2">
        <v>622</v>
      </c>
      <c r="G94" s="2">
        <v>17.63</v>
      </c>
    </row>
    <row r="95" spans="1:7" ht="16" x14ac:dyDescent="0.2">
      <c r="A95" s="2" t="s">
        <v>276</v>
      </c>
      <c r="B95" s="2" t="s">
        <v>803</v>
      </c>
      <c r="C95" s="2" t="s">
        <v>809</v>
      </c>
      <c r="D95" s="2" t="s">
        <v>810</v>
      </c>
      <c r="E95" s="2">
        <v>24</v>
      </c>
      <c r="F95" s="2">
        <v>197</v>
      </c>
      <c r="G95" s="2">
        <v>5.29</v>
      </c>
    </row>
    <row r="96" spans="1:7" ht="16" x14ac:dyDescent="0.2">
      <c r="A96" s="2" t="s">
        <v>276</v>
      </c>
      <c r="B96" s="2" t="s">
        <v>803</v>
      </c>
      <c r="C96" s="2" t="s">
        <v>810</v>
      </c>
      <c r="D96" s="2" t="s">
        <v>811</v>
      </c>
      <c r="E96" s="2">
        <v>24</v>
      </c>
      <c r="F96" s="2">
        <v>877</v>
      </c>
      <c r="G96" s="2">
        <v>19.059999999999999</v>
      </c>
    </row>
    <row r="97" spans="1:7" ht="16" x14ac:dyDescent="0.2">
      <c r="A97" s="2" t="s">
        <v>276</v>
      </c>
      <c r="B97" s="2" t="s">
        <v>803</v>
      </c>
      <c r="C97" s="2" t="s">
        <v>811</v>
      </c>
      <c r="D97" s="2" t="s">
        <v>812</v>
      </c>
      <c r="E97" s="2">
        <v>24</v>
      </c>
      <c r="F97" s="2">
        <v>380</v>
      </c>
      <c r="G97" s="2">
        <v>7.63</v>
      </c>
    </row>
    <row r="98" spans="1:7" ht="16" x14ac:dyDescent="0.2">
      <c r="A98" s="2" t="s">
        <v>276</v>
      </c>
      <c r="B98" s="2" t="s">
        <v>803</v>
      </c>
      <c r="C98" s="2" t="s">
        <v>812</v>
      </c>
      <c r="D98" s="2" t="s">
        <v>813</v>
      </c>
      <c r="E98" s="2">
        <v>24</v>
      </c>
      <c r="F98" s="2">
        <v>5102</v>
      </c>
      <c r="G98" s="2">
        <v>50.6</v>
      </c>
    </row>
    <row r="99" spans="1:7" ht="16" x14ac:dyDescent="0.2">
      <c r="A99" s="2" t="s">
        <v>276</v>
      </c>
      <c r="B99" s="2" t="s">
        <v>803</v>
      </c>
      <c r="C99" s="2" t="s">
        <v>813</v>
      </c>
      <c r="D99" s="2" t="s">
        <v>814</v>
      </c>
      <c r="E99" s="2">
        <v>24</v>
      </c>
      <c r="F99" s="2">
        <v>2785</v>
      </c>
      <c r="G99" s="2">
        <v>21.64</v>
      </c>
    </row>
    <row r="100" spans="1:7" ht="16" x14ac:dyDescent="0.2">
      <c r="A100" s="2" t="s">
        <v>276</v>
      </c>
      <c r="B100" s="2" t="s">
        <v>803</v>
      </c>
      <c r="C100" s="2" t="s">
        <v>814</v>
      </c>
      <c r="D100" s="2" t="s">
        <v>815</v>
      </c>
      <c r="E100" s="2">
        <v>24</v>
      </c>
      <c r="F100" s="2">
        <v>3335</v>
      </c>
      <c r="G100" s="2">
        <v>20.58</v>
      </c>
    </row>
    <row r="101" spans="1:7" ht="16" x14ac:dyDescent="0.2">
      <c r="A101" s="2" t="s">
        <v>276</v>
      </c>
      <c r="B101" s="2" t="s">
        <v>803</v>
      </c>
      <c r="C101" s="2" t="s">
        <v>815</v>
      </c>
      <c r="D101" s="2" t="s">
        <v>816</v>
      </c>
      <c r="E101" s="2">
        <v>24</v>
      </c>
      <c r="F101" s="2">
        <v>2729</v>
      </c>
      <c r="G101" s="2">
        <v>14.41</v>
      </c>
    </row>
    <row r="102" spans="1:7" ht="16" x14ac:dyDescent="0.2">
      <c r="A102" s="2" t="s">
        <v>276</v>
      </c>
      <c r="B102" s="2" t="s">
        <v>803</v>
      </c>
      <c r="C102" s="2" t="s">
        <v>816</v>
      </c>
      <c r="D102" s="2" t="s">
        <v>817</v>
      </c>
      <c r="E102" s="2">
        <v>24</v>
      </c>
      <c r="F102" s="2">
        <v>8484</v>
      </c>
      <c r="G102" s="2">
        <v>30.94</v>
      </c>
    </row>
    <row r="103" spans="1:7" ht="16" x14ac:dyDescent="0.2">
      <c r="A103" s="2" t="s">
        <v>276</v>
      </c>
      <c r="B103" s="2" t="s">
        <v>803</v>
      </c>
      <c r="C103" s="2" t="s">
        <v>817</v>
      </c>
      <c r="D103" s="2" t="s">
        <v>818</v>
      </c>
      <c r="E103" s="2">
        <v>24</v>
      </c>
      <c r="F103" s="2">
        <v>10655</v>
      </c>
      <c r="G103" s="2">
        <v>27.99</v>
      </c>
    </row>
    <row r="104" spans="1:7" ht="16" x14ac:dyDescent="0.2">
      <c r="A104" s="2" t="s">
        <v>276</v>
      </c>
      <c r="B104" s="2" t="s">
        <v>803</v>
      </c>
      <c r="C104" s="2" t="s">
        <v>818</v>
      </c>
      <c r="D104" s="2" t="s">
        <v>819</v>
      </c>
      <c r="E104" s="2">
        <v>24</v>
      </c>
      <c r="F104" s="2">
        <v>3979</v>
      </c>
      <c r="G104" s="2">
        <v>9.4600000000000009</v>
      </c>
    </row>
    <row r="105" spans="1:7" ht="16" x14ac:dyDescent="0.2">
      <c r="A105" s="2" t="s">
        <v>276</v>
      </c>
      <c r="B105" s="2" t="s">
        <v>803</v>
      </c>
      <c r="C105" s="2" t="s">
        <v>819</v>
      </c>
      <c r="D105" s="2" t="s">
        <v>820</v>
      </c>
      <c r="E105" s="2">
        <v>24</v>
      </c>
      <c r="F105" s="2">
        <v>6299</v>
      </c>
      <c r="G105" s="2">
        <v>13.03</v>
      </c>
    </row>
    <row r="106" spans="1:7" ht="16" x14ac:dyDescent="0.2">
      <c r="A106" s="2" t="s">
        <v>276</v>
      </c>
      <c r="B106" s="2" t="s">
        <v>803</v>
      </c>
      <c r="C106" s="2" t="s">
        <v>820</v>
      </c>
      <c r="D106" s="2" t="s">
        <v>821</v>
      </c>
      <c r="E106" s="2">
        <v>24</v>
      </c>
      <c r="F106" s="2">
        <v>2128</v>
      </c>
      <c r="G106" s="2">
        <v>4.22</v>
      </c>
    </row>
    <row r="107" spans="1:7" ht="16" x14ac:dyDescent="0.2">
      <c r="A107" s="2" t="s">
        <v>276</v>
      </c>
      <c r="B107" s="2" t="s">
        <v>803</v>
      </c>
      <c r="C107" s="2" t="s">
        <v>821</v>
      </c>
      <c r="D107" s="2" t="s">
        <v>822</v>
      </c>
      <c r="E107" s="2">
        <v>24</v>
      </c>
      <c r="F107" s="2">
        <v>1425</v>
      </c>
      <c r="G107" s="2">
        <v>2.75</v>
      </c>
    </row>
    <row r="108" spans="1:7" ht="16" x14ac:dyDescent="0.2">
      <c r="A108" s="2" t="s">
        <v>276</v>
      </c>
      <c r="B108" s="2" t="s">
        <v>803</v>
      </c>
      <c r="C108" s="2" t="s">
        <v>822</v>
      </c>
      <c r="D108" s="2" t="s">
        <v>823</v>
      </c>
      <c r="E108" s="2">
        <v>24</v>
      </c>
      <c r="F108" s="2">
        <v>6233</v>
      </c>
      <c r="G108" s="2">
        <v>10.72</v>
      </c>
    </row>
    <row r="109" spans="1:7" ht="16" x14ac:dyDescent="0.2">
      <c r="A109" s="2" t="s">
        <v>276</v>
      </c>
      <c r="B109" s="2" t="s">
        <v>803</v>
      </c>
      <c r="C109" s="2" t="s">
        <v>823</v>
      </c>
      <c r="D109" s="2" t="s">
        <v>824</v>
      </c>
      <c r="E109" s="2">
        <v>24</v>
      </c>
      <c r="F109" s="2">
        <v>2746</v>
      </c>
      <c r="G109" s="2">
        <v>4.51</v>
      </c>
    </row>
    <row r="110" spans="1:7" ht="16" x14ac:dyDescent="0.2">
      <c r="A110" s="2" t="s">
        <v>276</v>
      </c>
      <c r="B110" s="2" t="s">
        <v>803</v>
      </c>
      <c r="C110" s="2" t="s">
        <v>824</v>
      </c>
      <c r="D110" s="2" t="s">
        <v>825</v>
      </c>
      <c r="E110" s="2">
        <v>24</v>
      </c>
      <c r="F110" s="2">
        <v>2480</v>
      </c>
      <c r="G110" s="2">
        <v>3.91</v>
      </c>
    </row>
    <row r="111" spans="1:7" ht="16" x14ac:dyDescent="0.2">
      <c r="A111" s="2" t="s">
        <v>276</v>
      </c>
      <c r="B111" s="2" t="s">
        <v>803</v>
      </c>
      <c r="C111" s="2" t="s">
        <v>825</v>
      </c>
      <c r="D111" s="2" t="s">
        <v>826</v>
      </c>
      <c r="E111" s="2">
        <v>24</v>
      </c>
      <c r="F111" s="2">
        <v>989</v>
      </c>
      <c r="G111" s="2">
        <v>1.54</v>
      </c>
    </row>
    <row r="112" spans="1:7" ht="16" x14ac:dyDescent="0.2">
      <c r="A112" s="2" t="s">
        <v>276</v>
      </c>
      <c r="B112" s="2" t="s">
        <v>803</v>
      </c>
      <c r="C112" s="2" t="s">
        <v>826</v>
      </c>
      <c r="D112" s="2" t="s">
        <v>827</v>
      </c>
      <c r="E112" s="2">
        <v>24</v>
      </c>
      <c r="F112" s="2">
        <v>435</v>
      </c>
      <c r="G112" s="2">
        <v>0.67</v>
      </c>
    </row>
    <row r="113" spans="1:7" ht="16" x14ac:dyDescent="0.2">
      <c r="A113" s="2" t="s">
        <v>276</v>
      </c>
      <c r="B113" s="2" t="s">
        <v>803</v>
      </c>
      <c r="C113" s="2" t="s">
        <v>827</v>
      </c>
      <c r="D113" s="2" t="s">
        <v>828</v>
      </c>
      <c r="E113" s="2">
        <v>24</v>
      </c>
      <c r="F113" s="2">
        <v>499</v>
      </c>
      <c r="G113" s="2">
        <v>0.76</v>
      </c>
    </row>
    <row r="114" spans="1:7" ht="16" x14ac:dyDescent="0.2">
      <c r="A114" s="2" t="s">
        <v>276</v>
      </c>
      <c r="B114" s="2" t="s">
        <v>803</v>
      </c>
      <c r="C114" s="2" t="s">
        <v>828</v>
      </c>
      <c r="D114" s="2" t="s">
        <v>829</v>
      </c>
      <c r="E114" s="2">
        <v>24</v>
      </c>
      <c r="F114" s="2">
        <v>1599</v>
      </c>
      <c r="G114" s="2">
        <v>2.39</v>
      </c>
    </row>
    <row r="115" spans="1:7" ht="16" x14ac:dyDescent="0.2">
      <c r="A115" s="2" t="s">
        <v>276</v>
      </c>
      <c r="B115" s="2" t="s">
        <v>803</v>
      </c>
      <c r="C115" s="2" t="s">
        <v>829</v>
      </c>
      <c r="D115" s="2" t="s">
        <v>830</v>
      </c>
      <c r="E115" s="2">
        <v>24</v>
      </c>
      <c r="F115" s="2">
        <v>2009</v>
      </c>
      <c r="G115" s="2">
        <v>2.92</v>
      </c>
    </row>
    <row r="116" spans="1:7" ht="16" x14ac:dyDescent="0.2">
      <c r="A116" s="2" t="s">
        <v>276</v>
      </c>
      <c r="B116" s="2" t="s">
        <v>803</v>
      </c>
      <c r="C116" s="2" t="s">
        <v>830</v>
      </c>
      <c r="D116" s="2" t="s">
        <v>831</v>
      </c>
      <c r="E116" s="2">
        <v>24</v>
      </c>
      <c r="F116" s="2">
        <v>2297</v>
      </c>
      <c r="G116" s="2">
        <v>3.23</v>
      </c>
    </row>
    <row r="117" spans="1:7" ht="16" x14ac:dyDescent="0.2">
      <c r="A117" s="2" t="s">
        <v>276</v>
      </c>
      <c r="B117" s="2" t="s">
        <v>803</v>
      </c>
      <c r="C117" s="2" t="s">
        <v>831</v>
      </c>
      <c r="D117" s="2" t="s">
        <v>832</v>
      </c>
      <c r="E117" s="2">
        <v>24</v>
      </c>
      <c r="F117" s="2">
        <v>2168</v>
      </c>
      <c r="G117" s="2">
        <v>2.96</v>
      </c>
    </row>
    <row r="118" spans="1:7" ht="16" x14ac:dyDescent="0.2">
      <c r="A118" s="2" t="s">
        <v>276</v>
      </c>
      <c r="B118" s="2" t="s">
        <v>803</v>
      </c>
      <c r="C118" s="2" t="s">
        <v>832</v>
      </c>
      <c r="D118" s="2" t="s">
        <v>833</v>
      </c>
      <c r="E118" s="2">
        <v>24</v>
      </c>
      <c r="F118" s="2">
        <v>3622</v>
      </c>
      <c r="G118" s="2">
        <v>4.71</v>
      </c>
    </row>
    <row r="119" spans="1:7" ht="16" x14ac:dyDescent="0.2">
      <c r="A119" s="2" t="s">
        <v>276</v>
      </c>
      <c r="B119" s="2" t="s">
        <v>803</v>
      </c>
      <c r="C119" s="2" t="s">
        <v>833</v>
      </c>
      <c r="D119" s="2" t="s">
        <v>834</v>
      </c>
      <c r="E119" s="2">
        <v>24</v>
      </c>
      <c r="F119" s="2">
        <v>3390</v>
      </c>
      <c r="G119" s="2">
        <v>4.22</v>
      </c>
    </row>
    <row r="120" spans="1:7" ht="16" x14ac:dyDescent="0.2">
      <c r="A120" s="2" t="s">
        <v>276</v>
      </c>
      <c r="B120" s="2" t="s">
        <v>803</v>
      </c>
      <c r="C120" s="2" t="s">
        <v>834</v>
      </c>
      <c r="D120" s="2" t="s">
        <v>835</v>
      </c>
      <c r="E120" s="2">
        <v>24</v>
      </c>
      <c r="F120" s="2">
        <v>1080</v>
      </c>
      <c r="G120" s="2">
        <v>1.33</v>
      </c>
    </row>
    <row r="121" spans="1:7" ht="16" x14ac:dyDescent="0.2">
      <c r="A121" s="2" t="s">
        <v>276</v>
      </c>
      <c r="B121" s="2" t="s">
        <v>803</v>
      </c>
      <c r="C121" s="2" t="s">
        <v>835</v>
      </c>
      <c r="D121" s="2" t="s">
        <v>836</v>
      </c>
      <c r="E121" s="2">
        <v>24</v>
      </c>
      <c r="F121" s="2">
        <v>4580</v>
      </c>
      <c r="G121" s="2">
        <v>5.32</v>
      </c>
    </row>
    <row r="122" spans="1:7" ht="16" x14ac:dyDescent="0.2">
      <c r="A122" s="2" t="s">
        <v>276</v>
      </c>
      <c r="B122" s="2" t="s">
        <v>803</v>
      </c>
      <c r="C122" s="2" t="s">
        <v>836</v>
      </c>
      <c r="D122" s="2" t="s">
        <v>837</v>
      </c>
      <c r="E122" s="2">
        <v>24</v>
      </c>
      <c r="F122" s="2">
        <v>1788</v>
      </c>
      <c r="G122" s="2">
        <v>2.04</v>
      </c>
    </row>
    <row r="123" spans="1:7" ht="16" x14ac:dyDescent="0.2">
      <c r="A123" s="2" t="s">
        <v>276</v>
      </c>
      <c r="B123" s="2" t="s">
        <v>803</v>
      </c>
      <c r="C123" s="2" t="s">
        <v>837</v>
      </c>
      <c r="D123" s="2" t="s">
        <v>838</v>
      </c>
      <c r="E123" s="2">
        <v>24</v>
      </c>
      <c r="F123" s="2">
        <v>937</v>
      </c>
      <c r="G123" s="2">
        <v>1.06</v>
      </c>
    </row>
    <row r="124" spans="1:7" ht="16" x14ac:dyDescent="0.2">
      <c r="A124" s="2" t="s">
        <v>276</v>
      </c>
      <c r="B124" s="2" t="s">
        <v>803</v>
      </c>
      <c r="C124" s="2" t="s">
        <v>838</v>
      </c>
      <c r="D124" s="2" t="s">
        <v>839</v>
      </c>
      <c r="E124" s="2">
        <v>24</v>
      </c>
      <c r="F124" s="2">
        <v>7714</v>
      </c>
      <c r="G124" s="2">
        <v>8</v>
      </c>
    </row>
    <row r="125" spans="1:7" ht="16" x14ac:dyDescent="0.2">
      <c r="A125" s="2" t="s">
        <v>276</v>
      </c>
      <c r="B125" s="2" t="s">
        <v>803</v>
      </c>
      <c r="C125" s="2" t="s">
        <v>839</v>
      </c>
      <c r="D125" s="2" t="s">
        <v>840</v>
      </c>
      <c r="E125" s="2">
        <v>24</v>
      </c>
      <c r="F125" s="2">
        <v>3898</v>
      </c>
      <c r="G125" s="2">
        <v>3.88</v>
      </c>
    </row>
    <row r="126" spans="1:7" ht="16" x14ac:dyDescent="0.2">
      <c r="A126" s="2" t="s">
        <v>276</v>
      </c>
      <c r="B126" s="2" t="s">
        <v>803</v>
      </c>
      <c r="C126" s="2" t="s">
        <v>840</v>
      </c>
      <c r="D126" s="2" t="s">
        <v>841</v>
      </c>
      <c r="E126" s="2">
        <v>24</v>
      </c>
      <c r="F126" s="2">
        <v>1555</v>
      </c>
      <c r="G126" s="2">
        <v>1.53</v>
      </c>
    </row>
    <row r="127" spans="1:7" ht="16" x14ac:dyDescent="0.2">
      <c r="A127" s="2" t="s">
        <v>276</v>
      </c>
      <c r="B127" s="2" t="s">
        <v>803</v>
      </c>
      <c r="C127" s="2" t="s">
        <v>841</v>
      </c>
      <c r="D127" s="2" t="s">
        <v>842</v>
      </c>
      <c r="E127" s="2">
        <v>24</v>
      </c>
      <c r="F127" s="2">
        <v>824</v>
      </c>
      <c r="G127" s="2">
        <v>0.8</v>
      </c>
    </row>
    <row r="128" spans="1:7" ht="16" x14ac:dyDescent="0.2">
      <c r="A128" s="2" t="s">
        <v>276</v>
      </c>
      <c r="B128" s="2" t="s">
        <v>803</v>
      </c>
      <c r="C128" s="2" t="s">
        <v>842</v>
      </c>
      <c r="D128" s="2" t="s">
        <v>843</v>
      </c>
      <c r="E128" s="2">
        <v>24</v>
      </c>
      <c r="F128" s="2">
        <v>1517</v>
      </c>
      <c r="G128" s="2">
        <v>1.45</v>
      </c>
    </row>
    <row r="129" spans="1:7" ht="16" x14ac:dyDescent="0.2">
      <c r="A129" s="2" t="s">
        <v>276</v>
      </c>
      <c r="B129" s="2" t="s">
        <v>803</v>
      </c>
      <c r="C129" s="2" t="s">
        <v>843</v>
      </c>
      <c r="D129" s="2" t="s">
        <v>844</v>
      </c>
      <c r="E129" s="2">
        <v>24</v>
      </c>
      <c r="F129" s="2">
        <v>1212</v>
      </c>
      <c r="G129" s="2">
        <v>1.1499999999999999</v>
      </c>
    </row>
    <row r="130" spans="1:7" ht="16" x14ac:dyDescent="0.2">
      <c r="A130" s="2" t="s">
        <v>276</v>
      </c>
      <c r="B130" s="2" t="s">
        <v>803</v>
      </c>
      <c r="C130" s="2" t="s">
        <v>844</v>
      </c>
      <c r="D130" s="2" t="s">
        <v>845</v>
      </c>
      <c r="E130" s="2">
        <v>24</v>
      </c>
      <c r="F130" s="2">
        <v>4119</v>
      </c>
      <c r="G130" s="2">
        <v>3.76</v>
      </c>
    </row>
    <row r="131" spans="1:7" ht="16" x14ac:dyDescent="0.2">
      <c r="A131" s="2" t="s">
        <v>276</v>
      </c>
      <c r="B131" s="2" t="s">
        <v>803</v>
      </c>
      <c r="C131" s="2" t="s">
        <v>845</v>
      </c>
      <c r="D131" s="2" t="s">
        <v>846</v>
      </c>
      <c r="E131" s="2">
        <v>24</v>
      </c>
      <c r="F131" s="2">
        <v>2010</v>
      </c>
      <c r="G131" s="2">
        <v>1.8</v>
      </c>
    </row>
    <row r="132" spans="1:7" ht="16" x14ac:dyDescent="0.2">
      <c r="A132" s="2" t="s">
        <v>276</v>
      </c>
      <c r="B132" s="2" t="s">
        <v>803</v>
      </c>
      <c r="C132" s="2" t="s">
        <v>846</v>
      </c>
      <c r="D132" s="2" t="s">
        <v>847</v>
      </c>
      <c r="E132" s="2">
        <v>24</v>
      </c>
      <c r="F132" s="2">
        <v>29176</v>
      </c>
      <c r="G132" s="2">
        <v>20.72</v>
      </c>
    </row>
    <row r="133" spans="1:7" ht="16" x14ac:dyDescent="0.2">
      <c r="A133" s="2" t="s">
        <v>276</v>
      </c>
      <c r="B133" s="2" t="s">
        <v>803</v>
      </c>
      <c r="C133" s="2" t="s">
        <v>847</v>
      </c>
      <c r="D133" s="2" t="s">
        <v>848</v>
      </c>
      <c r="E133" s="2">
        <v>24</v>
      </c>
      <c r="F133" s="2">
        <v>16613</v>
      </c>
      <c r="G133" s="2">
        <v>10.56</v>
      </c>
    </row>
    <row r="134" spans="1:7" ht="16" x14ac:dyDescent="0.2">
      <c r="A134" s="2" t="s">
        <v>276</v>
      </c>
      <c r="B134" s="2" t="s">
        <v>803</v>
      </c>
      <c r="C134" s="2" t="s">
        <v>848</v>
      </c>
      <c r="D134" s="2" t="s">
        <v>849</v>
      </c>
      <c r="E134" s="2">
        <v>24</v>
      </c>
      <c r="F134" s="2">
        <v>7502</v>
      </c>
      <c r="G134" s="2">
        <v>4.55</v>
      </c>
    </row>
    <row r="135" spans="1:7" ht="16" x14ac:dyDescent="0.2">
      <c r="A135" s="2" t="s">
        <v>276</v>
      </c>
      <c r="B135" s="2" t="s">
        <v>803</v>
      </c>
      <c r="C135" s="2" t="s">
        <v>849</v>
      </c>
      <c r="D135" s="2" t="s">
        <v>850</v>
      </c>
      <c r="E135" s="2">
        <v>24</v>
      </c>
      <c r="F135" s="2">
        <v>15082</v>
      </c>
      <c r="G135" s="2">
        <v>8.3800000000000008</v>
      </c>
    </row>
    <row r="136" spans="1:7" ht="16" x14ac:dyDescent="0.2">
      <c r="A136" s="2" t="s">
        <v>276</v>
      </c>
      <c r="B136" s="2" t="s">
        <v>803</v>
      </c>
      <c r="C136" s="2" t="s">
        <v>850</v>
      </c>
      <c r="D136" s="2" t="s">
        <v>851</v>
      </c>
      <c r="E136" s="2">
        <v>24</v>
      </c>
      <c r="F136" s="2">
        <v>323</v>
      </c>
      <c r="G136" s="2">
        <v>0.18</v>
      </c>
    </row>
    <row r="137" spans="1:7" ht="16" x14ac:dyDescent="0.2">
      <c r="A137" s="2" t="s">
        <v>276</v>
      </c>
      <c r="B137" s="2" t="s">
        <v>803</v>
      </c>
      <c r="C137" s="2" t="s">
        <v>851</v>
      </c>
      <c r="D137" s="2" t="s">
        <v>852</v>
      </c>
      <c r="E137" s="2">
        <v>24</v>
      </c>
      <c r="F137" s="2">
        <v>765</v>
      </c>
      <c r="G137" s="2">
        <v>0.42</v>
      </c>
    </row>
    <row r="138" spans="1:7" ht="16" x14ac:dyDescent="0.2">
      <c r="A138" s="2" t="s">
        <v>276</v>
      </c>
      <c r="B138" s="2" t="s">
        <v>803</v>
      </c>
      <c r="C138" s="2" t="s">
        <v>852</v>
      </c>
      <c r="D138" s="2" t="s">
        <v>853</v>
      </c>
      <c r="E138" s="2">
        <v>24</v>
      </c>
      <c r="F138" s="2">
        <v>80</v>
      </c>
      <c r="G138" s="2">
        <v>0.04</v>
      </c>
    </row>
    <row r="139" spans="1:7" ht="16" x14ac:dyDescent="0.2">
      <c r="A139" s="2" t="s">
        <v>276</v>
      </c>
      <c r="B139" s="2" t="s">
        <v>803</v>
      </c>
      <c r="C139" s="2" t="s">
        <v>853</v>
      </c>
      <c r="D139" s="2" t="s">
        <v>854</v>
      </c>
      <c r="E139" s="2">
        <v>24</v>
      </c>
      <c r="F139" s="2">
        <v>29</v>
      </c>
      <c r="G139" s="2">
        <v>0.02</v>
      </c>
    </row>
    <row r="140" spans="1:7" ht="16" x14ac:dyDescent="0.2">
      <c r="A140" s="2" t="s">
        <v>276</v>
      </c>
      <c r="B140" s="2" t="s">
        <v>803</v>
      </c>
      <c r="C140" s="2" t="s">
        <v>854</v>
      </c>
      <c r="D140" s="2" t="s">
        <v>855</v>
      </c>
      <c r="E140" s="2">
        <v>24</v>
      </c>
      <c r="F140" s="2">
        <v>123</v>
      </c>
      <c r="G140" s="2">
        <v>7.0000000000000007E-2</v>
      </c>
    </row>
    <row r="141" spans="1:7" ht="16" x14ac:dyDescent="0.2">
      <c r="A141" s="2" t="s">
        <v>276</v>
      </c>
      <c r="B141" s="2" t="s">
        <v>803</v>
      </c>
      <c r="C141" s="2" t="s">
        <v>855</v>
      </c>
      <c r="D141" s="2" t="s">
        <v>856</v>
      </c>
      <c r="E141" s="2">
        <v>24</v>
      </c>
      <c r="F141" s="2">
        <v>277</v>
      </c>
      <c r="G141" s="2">
        <v>0.15</v>
      </c>
    </row>
    <row r="142" spans="1:7" ht="16" x14ac:dyDescent="0.2">
      <c r="A142" s="2" t="s">
        <v>276</v>
      </c>
      <c r="B142" s="2" t="s">
        <v>803</v>
      </c>
      <c r="C142" s="2" t="s">
        <v>856</v>
      </c>
      <c r="D142" s="2" t="s">
        <v>670</v>
      </c>
      <c r="E142" s="2">
        <v>24</v>
      </c>
      <c r="F142" s="2">
        <v>871</v>
      </c>
      <c r="G142" s="2">
        <v>0.48</v>
      </c>
    </row>
    <row r="143" spans="1:7" ht="16" x14ac:dyDescent="0.2">
      <c r="A143" s="2" t="s">
        <v>276</v>
      </c>
      <c r="B143" s="2" t="s">
        <v>803</v>
      </c>
      <c r="C143" s="2" t="s">
        <v>670</v>
      </c>
      <c r="D143" s="2" t="s">
        <v>857</v>
      </c>
      <c r="E143" s="2">
        <v>24</v>
      </c>
      <c r="F143" s="2">
        <v>1063</v>
      </c>
      <c r="G143" s="2">
        <v>0.57999999999999996</v>
      </c>
    </row>
    <row r="144" spans="1:7" ht="16" x14ac:dyDescent="0.2">
      <c r="A144" s="2" t="s">
        <v>276</v>
      </c>
      <c r="B144" s="2" t="s">
        <v>803</v>
      </c>
      <c r="C144" s="2" t="s">
        <v>857</v>
      </c>
      <c r="D144" s="2" t="s">
        <v>858</v>
      </c>
      <c r="E144" s="2">
        <v>24</v>
      </c>
      <c r="F144" s="2">
        <v>868</v>
      </c>
      <c r="G144" s="2">
        <v>0.47</v>
      </c>
    </row>
    <row r="145" spans="1:7" ht="16" x14ac:dyDescent="0.2">
      <c r="A145" s="2" t="s">
        <v>276</v>
      </c>
      <c r="B145" s="2" t="s">
        <v>803</v>
      </c>
      <c r="C145" s="2" t="s">
        <v>858</v>
      </c>
      <c r="D145" s="2" t="s">
        <v>859</v>
      </c>
      <c r="E145" s="2">
        <v>24</v>
      </c>
      <c r="F145" s="2">
        <v>1519</v>
      </c>
      <c r="G145" s="2">
        <v>0.82</v>
      </c>
    </row>
    <row r="146" spans="1:7" ht="16" x14ac:dyDescent="0.2">
      <c r="A146" s="2" t="s">
        <v>276</v>
      </c>
      <c r="B146" s="2" t="s">
        <v>803</v>
      </c>
      <c r="C146" s="2" t="s">
        <v>859</v>
      </c>
      <c r="D146" s="2" t="s">
        <v>860</v>
      </c>
      <c r="E146" s="2">
        <v>24</v>
      </c>
      <c r="F146" s="2">
        <v>297</v>
      </c>
      <c r="G146" s="2">
        <v>0.16</v>
      </c>
    </row>
    <row r="147" spans="1:7" ht="16" x14ac:dyDescent="0.2">
      <c r="A147" s="2" t="s">
        <v>276</v>
      </c>
      <c r="B147" s="2" t="s">
        <v>803</v>
      </c>
      <c r="C147" s="2" t="s">
        <v>860</v>
      </c>
      <c r="D147" s="2" t="s">
        <v>861</v>
      </c>
      <c r="E147" s="2">
        <v>24</v>
      </c>
      <c r="F147" s="2">
        <v>169</v>
      </c>
      <c r="G147" s="2">
        <v>0.09</v>
      </c>
    </row>
    <row r="148" spans="1:7" ht="16" x14ac:dyDescent="0.2">
      <c r="A148" s="2" t="s">
        <v>276</v>
      </c>
      <c r="B148" s="2" t="s">
        <v>803</v>
      </c>
      <c r="C148" s="2" t="s">
        <v>861</v>
      </c>
      <c r="D148" s="2" t="s">
        <v>862</v>
      </c>
      <c r="E148" s="2">
        <v>24</v>
      </c>
      <c r="F148" s="2">
        <v>1951</v>
      </c>
      <c r="G148" s="2">
        <v>1.04</v>
      </c>
    </row>
    <row r="149" spans="1:7" ht="16" x14ac:dyDescent="0.2">
      <c r="A149" s="2" t="s">
        <v>276</v>
      </c>
      <c r="B149" s="2" t="s">
        <v>803</v>
      </c>
      <c r="C149" s="2" t="s">
        <v>862</v>
      </c>
      <c r="D149" s="2" t="s">
        <v>863</v>
      </c>
      <c r="E149" s="2">
        <v>24</v>
      </c>
      <c r="F149" s="2">
        <v>68</v>
      </c>
      <c r="G149" s="2">
        <v>0.04</v>
      </c>
    </row>
    <row r="150" spans="1:7" ht="16" x14ac:dyDescent="0.2">
      <c r="A150" s="2" t="s">
        <v>276</v>
      </c>
      <c r="B150" s="2" t="s">
        <v>803</v>
      </c>
      <c r="C150" s="2" t="s">
        <v>863</v>
      </c>
      <c r="D150" s="2" t="s">
        <v>864</v>
      </c>
      <c r="E150" s="2">
        <v>25</v>
      </c>
      <c r="F150" s="2">
        <v>17</v>
      </c>
      <c r="G150" s="2">
        <v>0.01</v>
      </c>
    </row>
    <row r="151" spans="1:7" ht="16" x14ac:dyDescent="0.2">
      <c r="A151" s="2" t="s">
        <v>276</v>
      </c>
      <c r="B151" s="2" t="s">
        <v>803</v>
      </c>
      <c r="C151" s="2" t="s">
        <v>864</v>
      </c>
      <c r="D151" s="2" t="s">
        <v>865</v>
      </c>
      <c r="E151" s="2">
        <v>24</v>
      </c>
      <c r="F151" s="2">
        <v>0</v>
      </c>
      <c r="G151" s="2">
        <v>0</v>
      </c>
    </row>
    <row r="152" spans="1:7" ht="16" x14ac:dyDescent="0.2">
      <c r="A152" s="2" t="s">
        <v>276</v>
      </c>
      <c r="B152" s="2" t="s">
        <v>803</v>
      </c>
      <c r="C152" s="2" t="s">
        <v>865</v>
      </c>
      <c r="D152" s="2" t="s">
        <v>866</v>
      </c>
      <c r="E152" s="2">
        <v>24</v>
      </c>
      <c r="F152" s="2">
        <v>7</v>
      </c>
      <c r="G152" s="2">
        <v>0</v>
      </c>
    </row>
    <row r="153" spans="1:7" ht="16" x14ac:dyDescent="0.2">
      <c r="A153" s="2" t="s">
        <v>276</v>
      </c>
      <c r="B153" s="2" t="s">
        <v>803</v>
      </c>
      <c r="C153" s="2" t="s">
        <v>866</v>
      </c>
      <c r="D153" s="2" t="s">
        <v>867</v>
      </c>
      <c r="E153" s="2">
        <v>24</v>
      </c>
      <c r="F153" s="2">
        <v>0</v>
      </c>
      <c r="G153" s="2">
        <v>0</v>
      </c>
    </row>
    <row r="154" spans="1:7" ht="16" x14ac:dyDescent="0.2">
      <c r="A154" s="2" t="s">
        <v>276</v>
      </c>
      <c r="B154" s="2" t="s">
        <v>803</v>
      </c>
      <c r="C154" s="2" t="s">
        <v>867</v>
      </c>
      <c r="D154" s="2" t="s">
        <v>868</v>
      </c>
      <c r="E154" s="2">
        <v>24</v>
      </c>
      <c r="F154" s="2">
        <v>0</v>
      </c>
      <c r="G154" s="2">
        <v>0</v>
      </c>
    </row>
    <row r="155" spans="1:7" ht="16" x14ac:dyDescent="0.2">
      <c r="A155" s="2" t="s">
        <v>276</v>
      </c>
      <c r="B155" s="2" t="s">
        <v>803</v>
      </c>
      <c r="C155" s="2" t="s">
        <v>868</v>
      </c>
      <c r="D155" s="2" t="s">
        <v>869</v>
      </c>
      <c r="E155" s="2">
        <v>24</v>
      </c>
      <c r="F155" s="2">
        <v>0</v>
      </c>
      <c r="G155" s="2">
        <v>0</v>
      </c>
    </row>
    <row r="156" spans="1:7" ht="16" x14ac:dyDescent="0.2">
      <c r="A156" s="2" t="s">
        <v>276</v>
      </c>
      <c r="B156" s="2" t="s">
        <v>803</v>
      </c>
      <c r="C156" s="2" t="s">
        <v>869</v>
      </c>
      <c r="D156" s="2" t="s">
        <v>870</v>
      </c>
      <c r="E156" s="2">
        <v>0.25</v>
      </c>
      <c r="F156" s="2">
        <v>0</v>
      </c>
      <c r="G156" s="2">
        <v>0</v>
      </c>
    </row>
    <row r="157" spans="1:7" ht="16" x14ac:dyDescent="0.2">
      <c r="A157" s="2" t="s">
        <v>276</v>
      </c>
      <c r="B157" s="2" t="s">
        <v>803</v>
      </c>
      <c r="C157" s="2" t="s">
        <v>870</v>
      </c>
      <c r="D157" s="2" t="s">
        <v>871</v>
      </c>
      <c r="E157" s="2">
        <v>23.75</v>
      </c>
      <c r="F157" s="2">
        <v>0</v>
      </c>
      <c r="G157" s="2">
        <v>0</v>
      </c>
    </row>
    <row r="158" spans="1:7" ht="16" x14ac:dyDescent="0.2">
      <c r="A158" s="2" t="s">
        <v>276</v>
      </c>
      <c r="B158" s="2" t="s">
        <v>803</v>
      </c>
      <c r="C158" s="2" t="s">
        <v>871</v>
      </c>
      <c r="D158" s="2" t="s">
        <v>872</v>
      </c>
      <c r="E158" s="2">
        <v>24</v>
      </c>
      <c r="F158" s="2">
        <v>0</v>
      </c>
      <c r="G158" s="2">
        <v>0</v>
      </c>
    </row>
    <row r="159" spans="1:7" ht="16" x14ac:dyDescent="0.2">
      <c r="A159" s="2" t="s">
        <v>276</v>
      </c>
      <c r="B159" s="2" t="s">
        <v>803</v>
      </c>
      <c r="C159" s="2" t="s">
        <v>872</v>
      </c>
      <c r="D159" s="2" t="s">
        <v>873</v>
      </c>
      <c r="E159" s="2">
        <v>24</v>
      </c>
      <c r="F159" s="2">
        <v>0</v>
      </c>
      <c r="G159" s="2">
        <v>0</v>
      </c>
    </row>
    <row r="160" spans="1:7" ht="16" x14ac:dyDescent="0.2">
      <c r="A160" s="2" t="s">
        <v>276</v>
      </c>
      <c r="B160" s="2" t="s">
        <v>803</v>
      </c>
      <c r="C160" s="2" t="s">
        <v>873</v>
      </c>
      <c r="D160" s="2" t="s">
        <v>874</v>
      </c>
      <c r="E160" s="2">
        <v>24</v>
      </c>
      <c r="F160" s="2">
        <v>0</v>
      </c>
      <c r="G160" s="2">
        <v>0</v>
      </c>
    </row>
    <row r="161" spans="1:7" ht="16" x14ac:dyDescent="0.2">
      <c r="A161" s="2" t="s">
        <v>276</v>
      </c>
      <c r="B161" s="2" t="s">
        <v>803</v>
      </c>
      <c r="C161" s="2" t="s">
        <v>874</v>
      </c>
      <c r="D161" s="2" t="s">
        <v>875</v>
      </c>
      <c r="E161" s="2">
        <v>24</v>
      </c>
      <c r="F161" s="2">
        <v>0</v>
      </c>
      <c r="G161" s="2">
        <v>0</v>
      </c>
    </row>
    <row r="162" spans="1:7" ht="16" x14ac:dyDescent="0.2">
      <c r="A162" s="2" t="s">
        <v>276</v>
      </c>
      <c r="B162" s="2" t="s">
        <v>803</v>
      </c>
      <c r="C162" s="2" t="s">
        <v>875</v>
      </c>
      <c r="D162" s="2" t="s">
        <v>876</v>
      </c>
      <c r="E162" s="2">
        <v>24</v>
      </c>
      <c r="F162" s="2">
        <v>0</v>
      </c>
      <c r="G162" s="2">
        <v>0</v>
      </c>
    </row>
    <row r="163" spans="1:7" ht="16" x14ac:dyDescent="0.2">
      <c r="A163" s="2" t="s">
        <v>276</v>
      </c>
      <c r="B163" s="2" t="s">
        <v>803</v>
      </c>
      <c r="C163" s="2" t="s">
        <v>876</v>
      </c>
      <c r="D163" s="2" t="s">
        <v>877</v>
      </c>
      <c r="E163" s="2">
        <v>24</v>
      </c>
      <c r="F163" s="2">
        <v>0</v>
      </c>
      <c r="G163" s="2">
        <v>0</v>
      </c>
    </row>
    <row r="164" spans="1:7" ht="16" x14ac:dyDescent="0.2">
      <c r="A164" s="2" t="s">
        <v>276</v>
      </c>
      <c r="B164" s="2" t="s">
        <v>803</v>
      </c>
      <c r="C164" s="2" t="s">
        <v>877</v>
      </c>
      <c r="D164" s="2" t="s">
        <v>878</v>
      </c>
      <c r="E164" s="2">
        <v>165</v>
      </c>
      <c r="F164" s="2">
        <v>0</v>
      </c>
      <c r="G164" s="2">
        <v>0</v>
      </c>
    </row>
    <row r="165" spans="1:7" ht="16" x14ac:dyDescent="0.2">
      <c r="A165" s="2" t="s">
        <v>276</v>
      </c>
      <c r="B165" s="2" t="s">
        <v>803</v>
      </c>
      <c r="C165" s="2" t="s">
        <v>878</v>
      </c>
      <c r="D165" s="2" t="s">
        <v>879</v>
      </c>
      <c r="E165" s="2">
        <v>169</v>
      </c>
      <c r="F165" s="2">
        <v>0</v>
      </c>
      <c r="G165" s="2">
        <v>0</v>
      </c>
    </row>
    <row r="166" spans="1:7" ht="16" x14ac:dyDescent="0.2">
      <c r="A166" s="2" t="s">
        <v>276</v>
      </c>
      <c r="B166" s="2" t="s">
        <v>803</v>
      </c>
      <c r="C166" s="2" t="s">
        <v>879</v>
      </c>
      <c r="D166" s="2" t="s">
        <v>880</v>
      </c>
      <c r="E166" s="2">
        <v>167.5</v>
      </c>
      <c r="F166" s="2">
        <v>0</v>
      </c>
      <c r="G166" s="2">
        <v>0</v>
      </c>
    </row>
    <row r="167" spans="1:7" ht="16" x14ac:dyDescent="0.2">
      <c r="A167" s="2" t="s">
        <v>276</v>
      </c>
      <c r="B167" s="2" t="s">
        <v>803</v>
      </c>
      <c r="C167" s="2" t="s">
        <v>880</v>
      </c>
      <c r="D167" s="2" t="s">
        <v>881</v>
      </c>
      <c r="E167" s="2">
        <v>167</v>
      </c>
      <c r="F167" s="2">
        <v>0</v>
      </c>
      <c r="G167" s="2">
        <v>0</v>
      </c>
    </row>
    <row r="168" spans="1:7" ht="16" x14ac:dyDescent="0.2">
      <c r="A168" s="2" t="s">
        <v>276</v>
      </c>
      <c r="B168" s="2" t="s">
        <v>803</v>
      </c>
      <c r="C168" s="2" t="s">
        <v>881</v>
      </c>
      <c r="D168" s="2" t="s">
        <v>882</v>
      </c>
      <c r="E168" s="2">
        <v>167</v>
      </c>
      <c r="F168" s="2">
        <v>0</v>
      </c>
      <c r="G168" s="2">
        <v>0</v>
      </c>
    </row>
    <row r="169" spans="1:7" ht="16" x14ac:dyDescent="0.2">
      <c r="A169" s="2" t="s">
        <v>298</v>
      </c>
      <c r="B169" s="2" t="s">
        <v>559</v>
      </c>
      <c r="C169" s="2" t="s">
        <v>883</v>
      </c>
      <c r="D169" s="2" t="s">
        <v>614</v>
      </c>
      <c r="E169" s="2">
        <v>12</v>
      </c>
      <c r="F169" s="2">
        <v>-28</v>
      </c>
      <c r="G169" s="2">
        <v>-0.89</v>
      </c>
    </row>
    <row r="170" spans="1:7" ht="16" x14ac:dyDescent="0.2">
      <c r="A170" s="2" t="s">
        <v>298</v>
      </c>
      <c r="B170" s="2" t="s">
        <v>559</v>
      </c>
      <c r="C170" s="2" t="s">
        <v>614</v>
      </c>
      <c r="D170" s="2" t="s">
        <v>615</v>
      </c>
      <c r="E170" s="2">
        <v>16.420000000000002</v>
      </c>
      <c r="F170" s="2">
        <v>3736</v>
      </c>
      <c r="G170" s="2">
        <v>54.66</v>
      </c>
    </row>
    <row r="171" spans="1:7" ht="16" x14ac:dyDescent="0.2">
      <c r="A171" s="2" t="s">
        <v>298</v>
      </c>
      <c r="B171" s="2" t="s">
        <v>559</v>
      </c>
      <c r="C171" s="2" t="s">
        <v>615</v>
      </c>
      <c r="D171" s="2" t="s">
        <v>884</v>
      </c>
      <c r="E171" s="2">
        <v>7.25</v>
      </c>
      <c r="F171" s="2">
        <v>621</v>
      </c>
      <c r="G171" s="2">
        <v>8.32</v>
      </c>
    </row>
    <row r="172" spans="1:7" ht="16" x14ac:dyDescent="0.2">
      <c r="A172" s="2" t="s">
        <v>298</v>
      </c>
      <c r="B172" s="2" t="s">
        <v>559</v>
      </c>
      <c r="C172" s="2" t="s">
        <v>884</v>
      </c>
      <c r="D172" s="2" t="s">
        <v>885</v>
      </c>
      <c r="E172" s="2">
        <v>1.57</v>
      </c>
      <c r="F172" s="2">
        <v>4213</v>
      </c>
      <c r="G172" s="2">
        <v>36.11</v>
      </c>
    </row>
    <row r="173" spans="1:7" ht="16" x14ac:dyDescent="0.2">
      <c r="A173" s="2" t="s">
        <v>298</v>
      </c>
      <c r="B173" s="2" t="s">
        <v>559</v>
      </c>
      <c r="C173" s="2" t="s">
        <v>885</v>
      </c>
      <c r="D173" s="2" t="s">
        <v>560</v>
      </c>
      <c r="E173" s="2">
        <v>3.07</v>
      </c>
      <c r="F173" s="2">
        <v>-4652</v>
      </c>
      <c r="G173" s="2">
        <v>-66.31</v>
      </c>
    </row>
    <row r="174" spans="1:7" ht="16" x14ac:dyDescent="0.2">
      <c r="A174" s="2" t="s">
        <v>298</v>
      </c>
      <c r="B174" s="2" t="s">
        <v>559</v>
      </c>
      <c r="C174" s="2" t="s">
        <v>560</v>
      </c>
      <c r="D174" s="2" t="s">
        <v>561</v>
      </c>
      <c r="E174" s="2">
        <v>18.37</v>
      </c>
      <c r="F174" s="2">
        <v>41222</v>
      </c>
      <c r="G174" s="2">
        <v>85.46</v>
      </c>
    </row>
    <row r="175" spans="1:7" ht="16" x14ac:dyDescent="0.2">
      <c r="A175" s="2" t="s">
        <v>298</v>
      </c>
      <c r="B175" s="2" t="s">
        <v>559</v>
      </c>
      <c r="C175" s="2" t="s">
        <v>561</v>
      </c>
      <c r="D175" s="2" t="s">
        <v>754</v>
      </c>
      <c r="E175" s="2">
        <v>3.57</v>
      </c>
      <c r="F175" s="2">
        <v>-3754</v>
      </c>
      <c r="G175" s="2">
        <v>-8.44</v>
      </c>
    </row>
    <row r="176" spans="1:7" ht="16" x14ac:dyDescent="0.2">
      <c r="A176" s="2" t="s">
        <v>298</v>
      </c>
      <c r="B176" s="2" t="s">
        <v>559</v>
      </c>
      <c r="C176" s="2" t="s">
        <v>754</v>
      </c>
      <c r="D176" s="2" t="s">
        <v>568</v>
      </c>
      <c r="E176" s="2">
        <v>6.43</v>
      </c>
      <c r="F176" s="2">
        <v>5567</v>
      </c>
      <c r="G176" s="2">
        <v>11.12</v>
      </c>
    </row>
    <row r="177" spans="1:7" ht="16" x14ac:dyDescent="0.2">
      <c r="A177" s="2" t="s">
        <v>298</v>
      </c>
      <c r="B177" s="2" t="s">
        <v>559</v>
      </c>
      <c r="C177" s="2" t="s">
        <v>568</v>
      </c>
      <c r="D177" s="2" t="s">
        <v>569</v>
      </c>
      <c r="E177" s="2">
        <v>15.75</v>
      </c>
      <c r="F177" s="2">
        <v>18381</v>
      </c>
      <c r="G177" s="2">
        <v>26.86</v>
      </c>
    </row>
    <row r="178" spans="1:7" ht="16" x14ac:dyDescent="0.2">
      <c r="A178" s="2" t="s">
        <v>298</v>
      </c>
      <c r="B178" s="2" t="s">
        <v>559</v>
      </c>
      <c r="C178" s="2" t="s">
        <v>569</v>
      </c>
      <c r="D178" s="2" t="s">
        <v>588</v>
      </c>
      <c r="E178" s="2">
        <v>4</v>
      </c>
      <c r="F178" s="2">
        <v>12537</v>
      </c>
      <c r="G178" s="2">
        <v>15.48</v>
      </c>
    </row>
    <row r="179" spans="1:7" ht="16" x14ac:dyDescent="0.2">
      <c r="A179" s="2" t="s">
        <v>298</v>
      </c>
      <c r="B179" s="2" t="s">
        <v>559</v>
      </c>
      <c r="C179" s="2" t="s">
        <v>588</v>
      </c>
      <c r="D179" s="2" t="s">
        <v>589</v>
      </c>
      <c r="E179" s="2">
        <v>20.25</v>
      </c>
      <c r="F179" s="2">
        <v>8226</v>
      </c>
      <c r="G179" s="2">
        <v>9.2200000000000006</v>
      </c>
    </row>
    <row r="180" spans="1:7" ht="16" x14ac:dyDescent="0.2">
      <c r="A180" s="2" t="s">
        <v>298</v>
      </c>
      <c r="B180" s="2" t="s">
        <v>559</v>
      </c>
      <c r="C180" s="2" t="s">
        <v>589</v>
      </c>
      <c r="D180" s="2" t="s">
        <v>644</v>
      </c>
      <c r="E180" s="2">
        <v>0.35</v>
      </c>
      <c r="F180" s="2">
        <v>6247</v>
      </c>
      <c r="G180" s="2">
        <v>6.55</v>
      </c>
    </row>
    <row r="181" spans="1:7" ht="16" x14ac:dyDescent="0.2">
      <c r="A181" s="2" t="s">
        <v>298</v>
      </c>
      <c r="B181" s="2" t="s">
        <v>559</v>
      </c>
      <c r="C181" s="2" t="s">
        <v>644</v>
      </c>
      <c r="D181" s="2" t="s">
        <v>645</v>
      </c>
      <c r="E181" s="2">
        <v>23.48</v>
      </c>
      <c r="F181" s="2">
        <v>1797</v>
      </c>
      <c r="G181" s="2">
        <v>1.85</v>
      </c>
    </row>
    <row r="182" spans="1:7" ht="16" x14ac:dyDescent="0.2">
      <c r="A182" s="2" t="s">
        <v>298</v>
      </c>
      <c r="B182" s="2" t="s">
        <v>559</v>
      </c>
      <c r="C182" s="2" t="s">
        <v>645</v>
      </c>
      <c r="D182" s="2" t="s">
        <v>583</v>
      </c>
      <c r="E182" s="2">
        <v>1.1299999999999999</v>
      </c>
      <c r="F182" s="2">
        <v>6612</v>
      </c>
      <c r="G182" s="2">
        <v>6.37</v>
      </c>
    </row>
    <row r="183" spans="1:7" ht="16" x14ac:dyDescent="0.2">
      <c r="A183" s="2" t="s">
        <v>298</v>
      </c>
      <c r="B183" s="2" t="s">
        <v>559</v>
      </c>
      <c r="C183" s="2" t="s">
        <v>583</v>
      </c>
      <c r="D183" s="2" t="s">
        <v>584</v>
      </c>
      <c r="E183" s="2">
        <v>21.62</v>
      </c>
      <c r="F183" s="2">
        <v>9124</v>
      </c>
      <c r="G183" s="2">
        <v>8.08</v>
      </c>
    </row>
    <row r="184" spans="1:7" ht="16" x14ac:dyDescent="0.2">
      <c r="A184" s="2" t="s">
        <v>298</v>
      </c>
      <c r="B184" s="2" t="s">
        <v>559</v>
      </c>
      <c r="C184" s="2" t="s">
        <v>584</v>
      </c>
      <c r="D184" s="2" t="s">
        <v>653</v>
      </c>
      <c r="E184" s="2">
        <v>7.68</v>
      </c>
      <c r="F184" s="2">
        <v>1173</v>
      </c>
      <c r="G184" s="2">
        <v>1.03</v>
      </c>
    </row>
    <row r="185" spans="1:7" ht="16" x14ac:dyDescent="0.2">
      <c r="A185" s="2" t="s">
        <v>298</v>
      </c>
      <c r="B185" s="2" t="s">
        <v>559</v>
      </c>
      <c r="C185" s="2" t="s">
        <v>653</v>
      </c>
      <c r="D185" s="2" t="s">
        <v>654</v>
      </c>
      <c r="E185" s="2">
        <v>17.399999999999999</v>
      </c>
      <c r="F185" s="2">
        <v>1384</v>
      </c>
      <c r="G185" s="2">
        <v>1.2</v>
      </c>
    </row>
    <row r="186" spans="1:7" ht="16" x14ac:dyDescent="0.2">
      <c r="A186" s="2" t="s">
        <v>298</v>
      </c>
      <c r="B186" s="2" t="s">
        <v>559</v>
      </c>
      <c r="C186" s="2" t="s">
        <v>654</v>
      </c>
      <c r="D186" s="2" t="s">
        <v>600</v>
      </c>
      <c r="E186" s="2">
        <v>1.58</v>
      </c>
      <c r="F186" s="2">
        <v>5648</v>
      </c>
      <c r="G186" s="2">
        <v>4.66</v>
      </c>
    </row>
    <row r="187" spans="1:7" ht="16" x14ac:dyDescent="0.2">
      <c r="A187" s="2" t="s">
        <v>298</v>
      </c>
      <c r="B187" s="2" t="s">
        <v>559</v>
      </c>
      <c r="C187" s="2" t="s">
        <v>600</v>
      </c>
      <c r="D187" s="2" t="s">
        <v>601</v>
      </c>
      <c r="E187" s="2">
        <v>22.5</v>
      </c>
      <c r="F187" s="2">
        <v>5691</v>
      </c>
      <c r="G187" s="2">
        <v>4.49</v>
      </c>
    </row>
    <row r="188" spans="1:7" ht="16" x14ac:dyDescent="0.2">
      <c r="A188" s="2" t="s">
        <v>298</v>
      </c>
      <c r="B188" s="2" t="s">
        <v>559</v>
      </c>
      <c r="C188" s="2" t="s">
        <v>601</v>
      </c>
      <c r="D188" s="2" t="s">
        <v>590</v>
      </c>
      <c r="E188" s="2">
        <v>0.43</v>
      </c>
      <c r="F188" s="2">
        <v>-933</v>
      </c>
      <c r="G188" s="2">
        <v>-0.74</v>
      </c>
    </row>
    <row r="189" spans="1:7" ht="16" x14ac:dyDescent="0.2">
      <c r="A189" s="2" t="s">
        <v>298</v>
      </c>
      <c r="B189" s="2" t="s">
        <v>559</v>
      </c>
      <c r="C189" s="2" t="s">
        <v>590</v>
      </c>
      <c r="D189" s="2" t="s">
        <v>591</v>
      </c>
      <c r="E189" s="2">
        <v>21.57</v>
      </c>
      <c r="F189" s="2">
        <v>7943</v>
      </c>
      <c r="G189" s="2">
        <v>5.93</v>
      </c>
    </row>
    <row r="190" spans="1:7" ht="16" x14ac:dyDescent="0.2">
      <c r="A190" s="2" t="s">
        <v>298</v>
      </c>
      <c r="B190" s="2" t="s">
        <v>559</v>
      </c>
      <c r="C190" s="2" t="s">
        <v>591</v>
      </c>
      <c r="D190" s="2" t="s">
        <v>575</v>
      </c>
      <c r="E190" s="2">
        <v>2.93</v>
      </c>
      <c r="F190" s="2">
        <v>-1885</v>
      </c>
      <c r="G190" s="2">
        <v>-1.43</v>
      </c>
    </row>
    <row r="191" spans="1:7" ht="16" x14ac:dyDescent="0.2">
      <c r="A191" s="2" t="s">
        <v>298</v>
      </c>
      <c r="B191" s="2" t="s">
        <v>559</v>
      </c>
      <c r="C191" s="2" t="s">
        <v>575</v>
      </c>
      <c r="D191" s="2" t="s">
        <v>576</v>
      </c>
      <c r="E191" s="2">
        <v>22.32</v>
      </c>
      <c r="F191" s="2">
        <v>14926</v>
      </c>
      <c r="G191" s="2">
        <v>10.16</v>
      </c>
    </row>
    <row r="192" spans="1:7" ht="16" x14ac:dyDescent="0.2">
      <c r="A192" s="2" t="s">
        <v>298</v>
      </c>
      <c r="B192" s="2" t="s">
        <v>559</v>
      </c>
      <c r="C192" s="2" t="s">
        <v>576</v>
      </c>
      <c r="D192" s="2" t="s">
        <v>610</v>
      </c>
      <c r="E192" s="2">
        <v>0.28000000000000003</v>
      </c>
      <c r="F192" s="2">
        <v>-1796</v>
      </c>
      <c r="G192" s="2">
        <v>-1.24</v>
      </c>
    </row>
    <row r="193" spans="1:7" ht="16" x14ac:dyDescent="0.2">
      <c r="A193" s="2" t="s">
        <v>298</v>
      </c>
      <c r="B193" s="2" t="s">
        <v>559</v>
      </c>
      <c r="C193" s="2" t="s">
        <v>610</v>
      </c>
      <c r="D193" s="2" t="s">
        <v>611</v>
      </c>
      <c r="E193" s="2">
        <v>24.22</v>
      </c>
      <c r="F193" s="2">
        <v>4167</v>
      </c>
      <c r="G193" s="2">
        <v>2.79</v>
      </c>
    </row>
    <row r="194" spans="1:7" ht="16" x14ac:dyDescent="0.2">
      <c r="A194" s="2" t="s">
        <v>298</v>
      </c>
      <c r="B194" s="2" t="s">
        <v>559</v>
      </c>
      <c r="C194" s="2" t="s">
        <v>611</v>
      </c>
      <c r="D194" s="2" t="s">
        <v>606</v>
      </c>
      <c r="E194" s="2">
        <v>1.47</v>
      </c>
      <c r="F194" s="2">
        <v>10878</v>
      </c>
      <c r="G194" s="2">
        <v>6.79</v>
      </c>
    </row>
    <row r="195" spans="1:7" ht="16" x14ac:dyDescent="0.2">
      <c r="A195" s="2" t="s">
        <v>298</v>
      </c>
      <c r="B195" s="2" t="s">
        <v>559</v>
      </c>
      <c r="C195" s="2" t="s">
        <v>606</v>
      </c>
      <c r="D195" s="2" t="s">
        <v>607</v>
      </c>
      <c r="E195" s="2">
        <v>21.22</v>
      </c>
      <c r="F195" s="2">
        <v>4369</v>
      </c>
      <c r="G195" s="2">
        <v>2.65</v>
      </c>
    </row>
    <row r="196" spans="1:7" ht="16" x14ac:dyDescent="0.2">
      <c r="A196" s="2" t="s">
        <v>298</v>
      </c>
      <c r="B196" s="2" t="s">
        <v>559</v>
      </c>
      <c r="C196" s="2" t="s">
        <v>607</v>
      </c>
      <c r="D196" s="2" t="s">
        <v>619</v>
      </c>
      <c r="E196" s="2">
        <v>0.32</v>
      </c>
      <c r="F196" s="2">
        <v>-425</v>
      </c>
      <c r="G196" s="2">
        <v>-0.26</v>
      </c>
    </row>
    <row r="197" spans="1:7" ht="16" x14ac:dyDescent="0.2">
      <c r="A197" s="2" t="s">
        <v>298</v>
      </c>
      <c r="B197" s="2" t="s">
        <v>559</v>
      </c>
      <c r="C197" s="2" t="s">
        <v>619</v>
      </c>
      <c r="D197" s="2" t="s">
        <v>620</v>
      </c>
      <c r="E197" s="2">
        <v>24.5</v>
      </c>
      <c r="F197" s="2">
        <v>3414</v>
      </c>
      <c r="G197" s="2">
        <v>2.04</v>
      </c>
    </row>
    <row r="198" spans="1:7" ht="16" x14ac:dyDescent="0.2">
      <c r="A198" s="2" t="s">
        <v>298</v>
      </c>
      <c r="B198" s="2" t="s">
        <v>559</v>
      </c>
      <c r="C198" s="2" t="s">
        <v>620</v>
      </c>
      <c r="D198" s="2" t="s">
        <v>690</v>
      </c>
      <c r="E198" s="2">
        <v>2.65</v>
      </c>
      <c r="F198" s="2">
        <v>4525</v>
      </c>
      <c r="G198" s="2">
        <v>2.63</v>
      </c>
    </row>
    <row r="199" spans="1:7" ht="16" x14ac:dyDescent="0.2">
      <c r="A199" s="2" t="s">
        <v>298</v>
      </c>
      <c r="B199" s="2" t="s">
        <v>559</v>
      </c>
      <c r="C199" s="2" t="s">
        <v>690</v>
      </c>
      <c r="D199" s="2" t="s">
        <v>691</v>
      </c>
      <c r="E199" s="2">
        <v>19.350000000000001</v>
      </c>
      <c r="F199" s="2">
        <v>271</v>
      </c>
      <c r="G199" s="2">
        <v>0.16</v>
      </c>
    </row>
    <row r="200" spans="1:7" ht="16" x14ac:dyDescent="0.2">
      <c r="A200" s="2" t="s">
        <v>298</v>
      </c>
      <c r="B200" s="2" t="s">
        <v>559</v>
      </c>
      <c r="C200" s="2" t="s">
        <v>691</v>
      </c>
      <c r="D200" s="2" t="s">
        <v>656</v>
      </c>
      <c r="E200" s="2">
        <v>3.98</v>
      </c>
      <c r="F200" s="2">
        <v>3744</v>
      </c>
      <c r="G200" s="2">
        <v>2.13</v>
      </c>
    </row>
    <row r="201" spans="1:7" ht="16" x14ac:dyDescent="0.2">
      <c r="A201" s="2" t="s">
        <v>298</v>
      </c>
      <c r="B201" s="2" t="s">
        <v>559</v>
      </c>
      <c r="C201" s="2" t="s">
        <v>656</v>
      </c>
      <c r="D201" s="2" t="s">
        <v>657</v>
      </c>
      <c r="E201" s="2">
        <v>22.77</v>
      </c>
      <c r="F201" s="2">
        <v>1381</v>
      </c>
      <c r="G201" s="2">
        <v>0.78</v>
      </c>
    </row>
    <row r="202" spans="1:7" ht="16" x14ac:dyDescent="0.2">
      <c r="A202" s="2" t="s">
        <v>298</v>
      </c>
      <c r="B202" s="2" t="s">
        <v>559</v>
      </c>
      <c r="C202" s="2" t="s">
        <v>657</v>
      </c>
      <c r="D202" s="2" t="s">
        <v>627</v>
      </c>
      <c r="E202" s="2">
        <v>1.03</v>
      </c>
      <c r="F202" s="2">
        <v>1302</v>
      </c>
      <c r="G202" s="2">
        <v>0.73</v>
      </c>
    </row>
    <row r="203" spans="1:7" ht="16" x14ac:dyDescent="0.2">
      <c r="A203" s="2" t="s">
        <v>298</v>
      </c>
      <c r="B203" s="2" t="s">
        <v>559</v>
      </c>
      <c r="C203" s="2" t="s">
        <v>627</v>
      </c>
      <c r="D203" s="2" t="s">
        <v>628</v>
      </c>
      <c r="E203" s="2">
        <v>22.22</v>
      </c>
      <c r="F203" s="2">
        <v>2744</v>
      </c>
      <c r="G203" s="2">
        <v>1.51</v>
      </c>
    </row>
    <row r="204" spans="1:7" ht="16" x14ac:dyDescent="0.2">
      <c r="A204" s="2" t="s">
        <v>298</v>
      </c>
      <c r="B204" s="2" t="s">
        <v>559</v>
      </c>
      <c r="C204" s="2" t="s">
        <v>628</v>
      </c>
      <c r="D204" s="2" t="s">
        <v>629</v>
      </c>
      <c r="E204" s="2">
        <v>2.23</v>
      </c>
      <c r="F204" s="2">
        <v>2137</v>
      </c>
      <c r="G204" s="2">
        <v>1.1599999999999999</v>
      </c>
    </row>
    <row r="205" spans="1:7" ht="16" x14ac:dyDescent="0.2">
      <c r="A205" s="2" t="s">
        <v>298</v>
      </c>
      <c r="B205" s="2" t="s">
        <v>559</v>
      </c>
      <c r="C205" s="2" t="s">
        <v>629</v>
      </c>
      <c r="D205" s="2" t="s">
        <v>630</v>
      </c>
      <c r="E205" s="2">
        <v>20.27</v>
      </c>
      <c r="F205" s="2">
        <v>2652</v>
      </c>
      <c r="G205" s="2">
        <v>1.42</v>
      </c>
    </row>
    <row r="206" spans="1:7" ht="16" x14ac:dyDescent="0.2">
      <c r="A206" s="2" t="s">
        <v>298</v>
      </c>
      <c r="B206" s="2" t="s">
        <v>559</v>
      </c>
      <c r="C206" s="2" t="s">
        <v>630</v>
      </c>
      <c r="D206" s="2" t="s">
        <v>687</v>
      </c>
      <c r="E206" s="2">
        <v>2.77</v>
      </c>
      <c r="F206" s="2">
        <v>4588</v>
      </c>
      <c r="G206" s="2">
        <v>2.4</v>
      </c>
    </row>
    <row r="207" spans="1:7" ht="16" x14ac:dyDescent="0.2">
      <c r="A207" s="2" t="s">
        <v>298</v>
      </c>
      <c r="B207" s="2" t="s">
        <v>559</v>
      </c>
      <c r="C207" s="2" t="s">
        <v>687</v>
      </c>
      <c r="D207" s="2" t="s">
        <v>688</v>
      </c>
      <c r="E207" s="2">
        <v>21.73</v>
      </c>
      <c r="F207" s="2">
        <v>338</v>
      </c>
      <c r="G207" s="2">
        <v>0.18</v>
      </c>
    </row>
    <row r="208" spans="1:7" ht="16" x14ac:dyDescent="0.2">
      <c r="A208" s="2" t="s">
        <v>298</v>
      </c>
      <c r="B208" s="2" t="s">
        <v>559</v>
      </c>
      <c r="C208" s="2" t="s">
        <v>688</v>
      </c>
      <c r="D208" s="2" t="s">
        <v>658</v>
      </c>
      <c r="E208" s="2">
        <v>2.4700000000000002</v>
      </c>
      <c r="F208" s="2">
        <v>10469</v>
      </c>
      <c r="G208" s="2">
        <v>5.19</v>
      </c>
    </row>
    <row r="209" spans="1:7" ht="16" x14ac:dyDescent="0.2">
      <c r="A209" s="2" t="s">
        <v>298</v>
      </c>
      <c r="B209" s="2" t="s">
        <v>559</v>
      </c>
      <c r="C209" s="2" t="s">
        <v>658</v>
      </c>
      <c r="D209" s="2" t="s">
        <v>659</v>
      </c>
      <c r="E209" s="2">
        <v>21.28</v>
      </c>
      <c r="F209" s="2">
        <v>1295</v>
      </c>
      <c r="G209" s="2">
        <v>0.64</v>
      </c>
    </row>
    <row r="210" spans="1:7" ht="16" x14ac:dyDescent="0.2">
      <c r="A210" s="2" t="s">
        <v>298</v>
      </c>
      <c r="B210" s="2" t="s">
        <v>559</v>
      </c>
      <c r="C210" s="2" t="s">
        <v>659</v>
      </c>
      <c r="D210" s="2" t="s">
        <v>685</v>
      </c>
      <c r="E210" s="2">
        <v>3.17</v>
      </c>
      <c r="F210" s="2">
        <v>3840</v>
      </c>
      <c r="G210" s="2">
        <v>1.86</v>
      </c>
    </row>
    <row r="211" spans="1:7" ht="16" x14ac:dyDescent="0.2">
      <c r="A211" s="2" t="s">
        <v>298</v>
      </c>
      <c r="B211" s="2" t="s">
        <v>559</v>
      </c>
      <c r="C211" s="2" t="s">
        <v>685</v>
      </c>
      <c r="D211" s="2" t="s">
        <v>686</v>
      </c>
      <c r="E211" s="2">
        <v>20.079999999999998</v>
      </c>
      <c r="F211" s="2">
        <v>346</v>
      </c>
      <c r="G211" s="2">
        <v>0.17</v>
      </c>
    </row>
    <row r="212" spans="1:7" ht="16" x14ac:dyDescent="0.2">
      <c r="A212" s="2" t="s">
        <v>298</v>
      </c>
      <c r="B212" s="2" t="s">
        <v>559</v>
      </c>
      <c r="C212" s="2" t="s">
        <v>686</v>
      </c>
      <c r="D212" s="2" t="s">
        <v>700</v>
      </c>
      <c r="E212" s="2">
        <v>3.87</v>
      </c>
      <c r="F212" s="2">
        <v>3858</v>
      </c>
      <c r="G212" s="2">
        <v>1.83</v>
      </c>
    </row>
    <row r="213" spans="1:7" ht="16" x14ac:dyDescent="0.2">
      <c r="A213" s="2" t="s">
        <v>298</v>
      </c>
      <c r="B213" s="2" t="s">
        <v>559</v>
      </c>
      <c r="C213" s="2" t="s">
        <v>700</v>
      </c>
      <c r="D213" s="2" t="s">
        <v>701</v>
      </c>
      <c r="E213" s="2">
        <v>20.63</v>
      </c>
      <c r="F213" s="2">
        <v>19</v>
      </c>
      <c r="G213" s="2">
        <v>0.01</v>
      </c>
    </row>
    <row r="214" spans="1:7" ht="16" x14ac:dyDescent="0.2">
      <c r="A214" s="2" t="s">
        <v>298</v>
      </c>
      <c r="B214" s="2" t="s">
        <v>559</v>
      </c>
      <c r="C214" s="2" t="s">
        <v>701</v>
      </c>
      <c r="D214" s="2" t="s">
        <v>723</v>
      </c>
      <c r="E214" s="2">
        <v>2.08</v>
      </c>
      <c r="F214" s="2">
        <v>3489</v>
      </c>
      <c r="G214" s="2">
        <v>1.63</v>
      </c>
    </row>
    <row r="215" spans="1:7" ht="16" x14ac:dyDescent="0.2">
      <c r="A215" s="2" t="s">
        <v>298</v>
      </c>
      <c r="B215" s="2" t="s">
        <v>559</v>
      </c>
      <c r="C215" s="2" t="s">
        <v>723</v>
      </c>
      <c r="D215" s="2" t="s">
        <v>702</v>
      </c>
      <c r="E215" s="2">
        <v>22.42</v>
      </c>
      <c r="F215" s="2">
        <v>-19</v>
      </c>
      <c r="G215" s="2">
        <v>-0.01</v>
      </c>
    </row>
    <row r="216" spans="1:7" ht="16" x14ac:dyDescent="0.2">
      <c r="A216" s="2" t="s">
        <v>298</v>
      </c>
      <c r="B216" s="2" t="s">
        <v>559</v>
      </c>
      <c r="C216" s="2" t="s">
        <v>702</v>
      </c>
      <c r="D216" s="2" t="s">
        <v>703</v>
      </c>
      <c r="E216" s="2">
        <v>23</v>
      </c>
      <c r="F216" s="2">
        <v>19</v>
      </c>
      <c r="G216" s="2">
        <v>0.01</v>
      </c>
    </row>
    <row r="217" spans="1:7" ht="16" x14ac:dyDescent="0.2">
      <c r="A217" s="2" t="s">
        <v>298</v>
      </c>
      <c r="B217" s="2" t="s">
        <v>559</v>
      </c>
      <c r="C217" s="2" t="s">
        <v>703</v>
      </c>
      <c r="D217" s="2" t="s">
        <v>683</v>
      </c>
      <c r="E217" s="2">
        <v>5.8</v>
      </c>
      <c r="F217" s="2">
        <v>9082</v>
      </c>
      <c r="G217" s="2">
        <v>4.0599999999999996</v>
      </c>
    </row>
    <row r="218" spans="1:7" ht="16" x14ac:dyDescent="0.2">
      <c r="A218" s="2" t="s">
        <v>298</v>
      </c>
      <c r="B218" s="2" t="s">
        <v>559</v>
      </c>
      <c r="C218" s="2" t="s">
        <v>683</v>
      </c>
      <c r="D218" s="2" t="s">
        <v>684</v>
      </c>
      <c r="E218" s="2">
        <v>19.2</v>
      </c>
      <c r="F218" s="2">
        <v>489</v>
      </c>
      <c r="G218" s="2">
        <v>0.22</v>
      </c>
    </row>
    <row r="219" spans="1:7" ht="16" x14ac:dyDescent="0.2">
      <c r="A219" s="2" t="s">
        <v>298</v>
      </c>
      <c r="B219" s="2" t="s">
        <v>559</v>
      </c>
      <c r="C219" s="2" t="s">
        <v>684</v>
      </c>
      <c r="D219" s="2" t="s">
        <v>704</v>
      </c>
      <c r="E219" s="2">
        <v>2.17</v>
      </c>
      <c r="F219" s="2">
        <v>2986</v>
      </c>
      <c r="G219" s="2">
        <v>1.31</v>
      </c>
    </row>
    <row r="220" spans="1:7" ht="16" x14ac:dyDescent="0.2">
      <c r="A220" s="2" t="s">
        <v>298</v>
      </c>
      <c r="B220" s="2" t="s">
        <v>559</v>
      </c>
      <c r="C220" s="2" t="s">
        <v>704</v>
      </c>
      <c r="D220" s="2" t="s">
        <v>631</v>
      </c>
      <c r="E220" s="2">
        <v>21.83</v>
      </c>
      <c r="F220" s="2">
        <v>13</v>
      </c>
      <c r="G220" s="2">
        <v>0.01</v>
      </c>
    </row>
    <row r="221" spans="1:7" ht="16" x14ac:dyDescent="0.2">
      <c r="A221" s="2" t="s">
        <v>298</v>
      </c>
      <c r="B221" s="2" t="s">
        <v>559</v>
      </c>
      <c r="C221" s="2" t="s">
        <v>631</v>
      </c>
      <c r="D221" s="2" t="s">
        <v>632</v>
      </c>
      <c r="E221" s="2">
        <v>24</v>
      </c>
      <c r="F221" s="2">
        <v>2553</v>
      </c>
      <c r="G221" s="2">
        <v>1.1100000000000001</v>
      </c>
    </row>
    <row r="222" spans="1:7" ht="16" x14ac:dyDescent="0.2">
      <c r="A222" s="2" t="s">
        <v>298</v>
      </c>
      <c r="B222" s="2" t="s">
        <v>559</v>
      </c>
      <c r="C222" s="2" t="s">
        <v>632</v>
      </c>
      <c r="D222" s="2" t="s">
        <v>714</v>
      </c>
      <c r="E222" s="2">
        <v>24.4</v>
      </c>
      <c r="F222" s="2">
        <v>0</v>
      </c>
      <c r="G222" s="2">
        <v>0</v>
      </c>
    </row>
    <row r="223" spans="1:7" ht="16" x14ac:dyDescent="0.2">
      <c r="A223" s="2" t="s">
        <v>298</v>
      </c>
      <c r="B223" s="2" t="s">
        <v>559</v>
      </c>
      <c r="C223" s="2" t="s">
        <v>714</v>
      </c>
      <c r="D223" s="2" t="s">
        <v>715</v>
      </c>
      <c r="E223" s="2">
        <v>47.52</v>
      </c>
      <c r="F223" s="2">
        <v>0</v>
      </c>
      <c r="G223" s="2">
        <v>0</v>
      </c>
    </row>
    <row r="224" spans="1:7" ht="16" x14ac:dyDescent="0.2">
      <c r="A224" s="2" t="s">
        <v>298</v>
      </c>
      <c r="B224" s="2" t="s">
        <v>559</v>
      </c>
      <c r="C224" s="2" t="s">
        <v>715</v>
      </c>
      <c r="D224" s="2" t="s">
        <v>716</v>
      </c>
      <c r="E224" s="2">
        <v>76.12</v>
      </c>
      <c r="F224" s="2">
        <v>0</v>
      </c>
      <c r="G224" s="2">
        <v>0</v>
      </c>
    </row>
    <row r="225" spans="1:7" ht="16" x14ac:dyDescent="0.2">
      <c r="A225" s="2" t="s">
        <v>298</v>
      </c>
      <c r="B225" s="2" t="s">
        <v>559</v>
      </c>
      <c r="C225" s="2" t="s">
        <v>716</v>
      </c>
      <c r="D225" s="2" t="s">
        <v>717</v>
      </c>
      <c r="E225" s="2">
        <v>46.97</v>
      </c>
      <c r="F225" s="2">
        <v>0</v>
      </c>
      <c r="G225" s="2">
        <v>0</v>
      </c>
    </row>
    <row r="226" spans="1:7" ht="16" x14ac:dyDescent="0.2">
      <c r="A226" s="2" t="s">
        <v>298</v>
      </c>
      <c r="B226" s="2" t="s">
        <v>559</v>
      </c>
      <c r="C226" s="2" t="s">
        <v>717</v>
      </c>
      <c r="D226" s="2" t="s">
        <v>718</v>
      </c>
      <c r="E226" s="2">
        <v>35</v>
      </c>
      <c r="F226" s="2">
        <v>0</v>
      </c>
      <c r="G226" s="2">
        <v>0</v>
      </c>
    </row>
    <row r="227" spans="1:7" ht="16" x14ac:dyDescent="0.2">
      <c r="A227" s="2" t="s">
        <v>298</v>
      </c>
      <c r="B227" s="2" t="s">
        <v>559</v>
      </c>
      <c r="C227" s="2" t="s">
        <v>718</v>
      </c>
      <c r="D227" s="2" t="s">
        <v>719</v>
      </c>
      <c r="E227" s="2">
        <v>25.2</v>
      </c>
      <c r="F227" s="2">
        <v>0</v>
      </c>
      <c r="G227" s="2">
        <v>0</v>
      </c>
    </row>
    <row r="228" spans="1:7" ht="16" x14ac:dyDescent="0.2">
      <c r="A228" s="2" t="s">
        <v>298</v>
      </c>
      <c r="B228" s="2" t="s">
        <v>559</v>
      </c>
      <c r="C228" s="2" t="s">
        <v>719</v>
      </c>
      <c r="D228" s="2" t="s">
        <v>720</v>
      </c>
      <c r="E228" s="2">
        <v>19.7</v>
      </c>
      <c r="F228" s="2">
        <v>0</v>
      </c>
      <c r="G228" s="2">
        <v>0</v>
      </c>
    </row>
    <row r="229" spans="1:7" ht="16" x14ac:dyDescent="0.2">
      <c r="A229" s="2" t="s">
        <v>298</v>
      </c>
      <c r="B229" s="2" t="s">
        <v>886</v>
      </c>
      <c r="C229" s="2" t="s">
        <v>887</v>
      </c>
      <c r="D229" s="2" t="s">
        <v>888</v>
      </c>
      <c r="E229" s="2">
        <v>12</v>
      </c>
      <c r="F229" s="2">
        <v>356</v>
      </c>
      <c r="G229" s="2">
        <v>7.53</v>
      </c>
    </row>
    <row r="230" spans="1:7" ht="16" x14ac:dyDescent="0.2">
      <c r="A230" s="2" t="s">
        <v>298</v>
      </c>
      <c r="B230" s="2" t="s">
        <v>886</v>
      </c>
      <c r="C230" s="2" t="s">
        <v>888</v>
      </c>
      <c r="D230" s="2" t="s">
        <v>889</v>
      </c>
      <c r="E230" s="2">
        <v>12</v>
      </c>
      <c r="F230" s="2">
        <v>3253</v>
      </c>
      <c r="G230" s="2">
        <v>40.74</v>
      </c>
    </row>
    <row r="231" spans="1:7" ht="16" x14ac:dyDescent="0.2">
      <c r="A231" s="2" t="s">
        <v>298</v>
      </c>
      <c r="B231" s="2" t="s">
        <v>886</v>
      </c>
      <c r="C231" s="2" t="s">
        <v>889</v>
      </c>
      <c r="D231" s="2" t="s">
        <v>890</v>
      </c>
      <c r="E231" s="2">
        <v>12</v>
      </c>
      <c r="F231" s="2">
        <v>1325</v>
      </c>
      <c r="G231" s="2">
        <v>14.24</v>
      </c>
    </row>
    <row r="232" spans="1:7" ht="16" x14ac:dyDescent="0.2">
      <c r="A232" s="2" t="s">
        <v>298</v>
      </c>
      <c r="B232" s="2" t="s">
        <v>886</v>
      </c>
      <c r="C232" s="2" t="s">
        <v>890</v>
      </c>
      <c r="D232" s="2" t="s">
        <v>891</v>
      </c>
      <c r="E232" s="2">
        <v>12</v>
      </c>
      <c r="F232" s="2">
        <v>23409</v>
      </c>
      <c r="G232" s="2">
        <v>71.540000000000006</v>
      </c>
    </row>
    <row r="233" spans="1:7" ht="16" x14ac:dyDescent="0.2">
      <c r="A233" s="2" t="s">
        <v>298</v>
      </c>
      <c r="B233" s="2" t="s">
        <v>886</v>
      </c>
      <c r="C233" s="2" t="s">
        <v>891</v>
      </c>
      <c r="D233" s="2" t="s">
        <v>892</v>
      </c>
      <c r="E233" s="2">
        <v>12</v>
      </c>
      <c r="F233" s="2">
        <v>164</v>
      </c>
      <c r="G233" s="2">
        <v>0.5</v>
      </c>
    </row>
    <row r="234" spans="1:7" ht="16" x14ac:dyDescent="0.2">
      <c r="A234" s="2" t="s">
        <v>298</v>
      </c>
      <c r="B234" s="2" t="s">
        <v>886</v>
      </c>
      <c r="C234" s="2" t="s">
        <v>892</v>
      </c>
      <c r="D234" s="2" t="s">
        <v>756</v>
      </c>
      <c r="E234" s="2">
        <v>12</v>
      </c>
      <c r="F234" s="2">
        <v>24776</v>
      </c>
      <c r="G234" s="2">
        <v>42.97</v>
      </c>
    </row>
    <row r="235" spans="1:7" ht="16" x14ac:dyDescent="0.2">
      <c r="A235" s="2" t="s">
        <v>298</v>
      </c>
      <c r="B235" s="2" t="s">
        <v>886</v>
      </c>
      <c r="C235" s="2" t="s">
        <v>756</v>
      </c>
      <c r="D235" s="2" t="s">
        <v>759</v>
      </c>
      <c r="E235" s="2">
        <v>12</v>
      </c>
      <c r="F235" s="2">
        <v>2756</v>
      </c>
      <c r="G235" s="2">
        <v>4.5599999999999996</v>
      </c>
    </row>
    <row r="236" spans="1:7" ht="16" x14ac:dyDescent="0.2">
      <c r="A236" s="2" t="s">
        <v>298</v>
      </c>
      <c r="B236" s="2" t="s">
        <v>886</v>
      </c>
      <c r="C236" s="2" t="s">
        <v>759</v>
      </c>
      <c r="D236" s="2" t="s">
        <v>893</v>
      </c>
      <c r="E236" s="2">
        <v>12</v>
      </c>
      <c r="F236" s="2">
        <v>49019</v>
      </c>
      <c r="G236" s="2">
        <v>44.79</v>
      </c>
    </row>
    <row r="237" spans="1:7" ht="16" x14ac:dyDescent="0.2">
      <c r="A237" s="2" t="s">
        <v>298</v>
      </c>
      <c r="B237" s="2" t="s">
        <v>886</v>
      </c>
      <c r="C237" s="2" t="s">
        <v>893</v>
      </c>
      <c r="D237" s="2" t="s">
        <v>894</v>
      </c>
      <c r="E237" s="2">
        <v>12</v>
      </c>
      <c r="F237" s="2">
        <v>4203</v>
      </c>
      <c r="G237" s="2">
        <v>3.7</v>
      </c>
    </row>
    <row r="238" spans="1:7" ht="16" x14ac:dyDescent="0.2">
      <c r="A238" s="2" t="s">
        <v>298</v>
      </c>
      <c r="B238" s="2" t="s">
        <v>886</v>
      </c>
      <c r="C238" s="2" t="s">
        <v>894</v>
      </c>
      <c r="D238" s="2" t="s">
        <v>895</v>
      </c>
      <c r="E238" s="2">
        <v>12</v>
      </c>
      <c r="F238" s="2">
        <v>9737</v>
      </c>
      <c r="G238" s="2">
        <v>7.89</v>
      </c>
    </row>
    <row r="239" spans="1:7" ht="16" x14ac:dyDescent="0.2">
      <c r="A239" s="2" t="s">
        <v>298</v>
      </c>
      <c r="B239" s="2" t="s">
        <v>886</v>
      </c>
      <c r="C239" s="2" t="s">
        <v>895</v>
      </c>
      <c r="D239" s="2" t="s">
        <v>896</v>
      </c>
      <c r="E239" s="2">
        <v>12</v>
      </c>
      <c r="F239" s="2">
        <v>2342</v>
      </c>
      <c r="G239" s="2">
        <v>1.86</v>
      </c>
    </row>
    <row r="240" spans="1:7" ht="16" x14ac:dyDescent="0.2">
      <c r="A240" s="2" t="s">
        <v>298</v>
      </c>
      <c r="B240" s="2" t="s">
        <v>886</v>
      </c>
      <c r="C240" s="2" t="s">
        <v>896</v>
      </c>
      <c r="D240" s="2" t="s">
        <v>897</v>
      </c>
      <c r="E240" s="2">
        <v>12</v>
      </c>
      <c r="F240" s="2">
        <v>4470</v>
      </c>
      <c r="G240" s="2">
        <v>3.43</v>
      </c>
    </row>
    <row r="241" spans="1:7" ht="16" x14ac:dyDescent="0.2">
      <c r="A241" s="2" t="s">
        <v>298</v>
      </c>
      <c r="B241" s="2" t="s">
        <v>886</v>
      </c>
      <c r="C241" s="2" t="s">
        <v>897</v>
      </c>
      <c r="D241" s="2" t="s">
        <v>898</v>
      </c>
      <c r="E241" s="2">
        <v>12</v>
      </c>
      <c r="F241" s="2">
        <v>3034</v>
      </c>
      <c r="G241" s="2">
        <v>2.2799999999999998</v>
      </c>
    </row>
    <row r="242" spans="1:7" ht="16" x14ac:dyDescent="0.2">
      <c r="A242" s="2" t="s">
        <v>298</v>
      </c>
      <c r="B242" s="2" t="s">
        <v>886</v>
      </c>
      <c r="C242" s="2" t="s">
        <v>898</v>
      </c>
      <c r="D242" s="2" t="s">
        <v>899</v>
      </c>
      <c r="E242" s="2">
        <v>12</v>
      </c>
      <c r="F242" s="2">
        <v>11432</v>
      </c>
      <c r="G242" s="2">
        <v>7.9</v>
      </c>
    </row>
    <row r="243" spans="1:7" ht="16" x14ac:dyDescent="0.2">
      <c r="A243" s="2" t="s">
        <v>298</v>
      </c>
      <c r="B243" s="2" t="s">
        <v>886</v>
      </c>
      <c r="C243" s="2" t="s">
        <v>899</v>
      </c>
      <c r="D243" s="2" t="s">
        <v>900</v>
      </c>
      <c r="E243" s="2">
        <v>12</v>
      </c>
      <c r="F243" s="2">
        <v>276</v>
      </c>
      <c r="G243" s="2">
        <v>0.19</v>
      </c>
    </row>
    <row r="244" spans="1:7" ht="16" x14ac:dyDescent="0.2">
      <c r="A244" s="2" t="s">
        <v>298</v>
      </c>
      <c r="B244" s="2" t="s">
        <v>886</v>
      </c>
      <c r="C244" s="2" t="s">
        <v>900</v>
      </c>
      <c r="D244" s="2" t="s">
        <v>901</v>
      </c>
      <c r="E244" s="2">
        <v>12</v>
      </c>
      <c r="F244" s="2">
        <v>7544</v>
      </c>
      <c r="G244" s="2">
        <v>4.95</v>
      </c>
    </row>
    <row r="245" spans="1:7" ht="16" x14ac:dyDescent="0.2">
      <c r="A245" s="2" t="s">
        <v>298</v>
      </c>
      <c r="B245" s="2" t="s">
        <v>886</v>
      </c>
      <c r="C245" s="2" t="s">
        <v>901</v>
      </c>
      <c r="D245" s="2" t="s">
        <v>902</v>
      </c>
      <c r="E245" s="2">
        <v>12</v>
      </c>
      <c r="F245" s="2">
        <v>37</v>
      </c>
      <c r="G245" s="2">
        <v>0.02</v>
      </c>
    </row>
    <row r="246" spans="1:7" ht="16" x14ac:dyDescent="0.2">
      <c r="A246" s="2" t="s">
        <v>298</v>
      </c>
      <c r="B246" s="2" t="s">
        <v>886</v>
      </c>
      <c r="C246" s="2" t="s">
        <v>902</v>
      </c>
      <c r="D246" s="2" t="s">
        <v>903</v>
      </c>
      <c r="E246" s="2">
        <v>12</v>
      </c>
      <c r="F246" s="2">
        <v>4664</v>
      </c>
      <c r="G246" s="2">
        <v>2.97</v>
      </c>
    </row>
    <row r="247" spans="1:7" ht="16" x14ac:dyDescent="0.2">
      <c r="A247" s="2" t="s">
        <v>298</v>
      </c>
      <c r="B247" s="2" t="s">
        <v>886</v>
      </c>
      <c r="C247" s="2" t="s">
        <v>903</v>
      </c>
      <c r="D247" s="2" t="s">
        <v>904</v>
      </c>
      <c r="E247" s="2">
        <v>12</v>
      </c>
      <c r="F247" s="2">
        <v>1084</v>
      </c>
      <c r="G247" s="2">
        <v>0.68</v>
      </c>
    </row>
    <row r="248" spans="1:7" ht="16" x14ac:dyDescent="0.2">
      <c r="A248" s="2" t="s">
        <v>298</v>
      </c>
      <c r="B248" s="2" t="s">
        <v>886</v>
      </c>
      <c r="C248" s="2" t="s">
        <v>904</v>
      </c>
      <c r="D248" s="2" t="s">
        <v>905</v>
      </c>
      <c r="E248" s="2">
        <v>12</v>
      </c>
      <c r="F248" s="2">
        <v>1467</v>
      </c>
      <c r="G248" s="2">
        <v>0.92</v>
      </c>
    </row>
    <row r="249" spans="1:7" ht="16" x14ac:dyDescent="0.2">
      <c r="A249" s="2" t="s">
        <v>298</v>
      </c>
      <c r="B249" s="2" t="s">
        <v>886</v>
      </c>
      <c r="C249" s="2" t="s">
        <v>905</v>
      </c>
      <c r="D249" s="2" t="s">
        <v>906</v>
      </c>
      <c r="E249" s="2">
        <v>12</v>
      </c>
      <c r="F249" s="2">
        <v>2240</v>
      </c>
      <c r="G249" s="2">
        <v>1.38</v>
      </c>
    </row>
    <row r="250" spans="1:7" ht="16" x14ac:dyDescent="0.2">
      <c r="A250" s="2" t="s">
        <v>298</v>
      </c>
      <c r="B250" s="2" t="s">
        <v>886</v>
      </c>
      <c r="C250" s="2" t="s">
        <v>906</v>
      </c>
      <c r="D250" s="2" t="s">
        <v>907</v>
      </c>
      <c r="E250" s="2">
        <v>12</v>
      </c>
      <c r="F250" s="2">
        <v>7780</v>
      </c>
      <c r="G250" s="2">
        <v>4.58</v>
      </c>
    </row>
    <row r="251" spans="1:7" ht="16" x14ac:dyDescent="0.2">
      <c r="A251" s="2" t="s">
        <v>298</v>
      </c>
      <c r="B251" s="2" t="s">
        <v>886</v>
      </c>
      <c r="C251" s="2" t="s">
        <v>907</v>
      </c>
      <c r="D251" s="2" t="s">
        <v>908</v>
      </c>
      <c r="E251" s="2">
        <v>12</v>
      </c>
      <c r="F251" s="2">
        <v>5134</v>
      </c>
      <c r="G251" s="2">
        <v>2.94</v>
      </c>
    </row>
    <row r="252" spans="1:7" ht="16" x14ac:dyDescent="0.2">
      <c r="A252" s="2" t="s">
        <v>298</v>
      </c>
      <c r="B252" s="2" t="s">
        <v>886</v>
      </c>
      <c r="C252" s="2" t="s">
        <v>908</v>
      </c>
      <c r="D252" s="2" t="s">
        <v>909</v>
      </c>
      <c r="E252" s="2">
        <v>12</v>
      </c>
      <c r="F252" s="2">
        <v>7660</v>
      </c>
      <c r="G252" s="2">
        <v>4.2</v>
      </c>
    </row>
    <row r="253" spans="1:7" ht="16" x14ac:dyDescent="0.2">
      <c r="A253" s="2" t="s">
        <v>298</v>
      </c>
      <c r="B253" s="2" t="s">
        <v>886</v>
      </c>
      <c r="C253" s="2" t="s">
        <v>909</v>
      </c>
      <c r="D253" s="2" t="s">
        <v>910</v>
      </c>
      <c r="E253" s="2">
        <v>12</v>
      </c>
      <c r="F253" s="2">
        <v>946</v>
      </c>
      <c r="G253" s="2">
        <v>0.52</v>
      </c>
    </row>
    <row r="254" spans="1:7" ht="16" x14ac:dyDescent="0.2">
      <c r="A254" s="2" t="s">
        <v>298</v>
      </c>
      <c r="B254" s="2" t="s">
        <v>886</v>
      </c>
      <c r="C254" s="2" t="s">
        <v>910</v>
      </c>
      <c r="D254" s="2" t="s">
        <v>911</v>
      </c>
      <c r="E254" s="2">
        <v>12</v>
      </c>
      <c r="F254" s="2">
        <v>5278</v>
      </c>
      <c r="G254" s="2">
        <v>2.8</v>
      </c>
    </row>
    <row r="255" spans="1:7" ht="16" x14ac:dyDescent="0.2">
      <c r="A255" s="2" t="s">
        <v>298</v>
      </c>
      <c r="B255" s="2" t="s">
        <v>886</v>
      </c>
      <c r="C255" s="2" t="s">
        <v>911</v>
      </c>
      <c r="D255" s="2" t="s">
        <v>912</v>
      </c>
      <c r="E255" s="2">
        <v>12</v>
      </c>
      <c r="F255" s="2">
        <v>368</v>
      </c>
      <c r="G255" s="2">
        <v>0.19</v>
      </c>
    </row>
    <row r="256" spans="1:7" ht="16" x14ac:dyDescent="0.2">
      <c r="A256" s="2" t="s">
        <v>298</v>
      </c>
      <c r="B256" s="2" t="s">
        <v>886</v>
      </c>
      <c r="C256" s="2" t="s">
        <v>912</v>
      </c>
      <c r="D256" s="2" t="s">
        <v>913</v>
      </c>
      <c r="E256" s="2">
        <v>12</v>
      </c>
      <c r="F256" s="2">
        <v>7568</v>
      </c>
      <c r="G256" s="2">
        <v>3.85</v>
      </c>
    </row>
    <row r="257" spans="1:7" ht="16" x14ac:dyDescent="0.2">
      <c r="A257" s="2" t="s">
        <v>298</v>
      </c>
      <c r="B257" s="2" t="s">
        <v>886</v>
      </c>
      <c r="C257" s="2" t="s">
        <v>913</v>
      </c>
      <c r="D257" s="2" t="s">
        <v>914</v>
      </c>
      <c r="E257" s="2">
        <v>12</v>
      </c>
      <c r="F257" s="2">
        <v>1034</v>
      </c>
      <c r="G257" s="2">
        <v>0.52</v>
      </c>
    </row>
    <row r="258" spans="1:7" ht="16" x14ac:dyDescent="0.2">
      <c r="A258" s="2" t="s">
        <v>298</v>
      </c>
      <c r="B258" s="2" t="s">
        <v>886</v>
      </c>
      <c r="C258" s="2" t="s">
        <v>914</v>
      </c>
      <c r="D258" s="2" t="s">
        <v>915</v>
      </c>
      <c r="E258" s="2">
        <v>12</v>
      </c>
      <c r="F258" s="2">
        <v>1295</v>
      </c>
      <c r="G258" s="2">
        <v>0.65</v>
      </c>
    </row>
    <row r="259" spans="1:7" ht="16" x14ac:dyDescent="0.2">
      <c r="A259" s="2" t="s">
        <v>298</v>
      </c>
      <c r="B259" s="2" t="s">
        <v>886</v>
      </c>
      <c r="C259" s="2" t="s">
        <v>915</v>
      </c>
      <c r="D259" s="2" t="s">
        <v>916</v>
      </c>
      <c r="E259" s="2">
        <v>12</v>
      </c>
      <c r="F259" s="2">
        <v>919</v>
      </c>
      <c r="G259" s="2">
        <v>0.46</v>
      </c>
    </row>
    <row r="260" spans="1:7" ht="16" x14ac:dyDescent="0.2">
      <c r="A260" s="2" t="s">
        <v>298</v>
      </c>
      <c r="B260" s="2" t="s">
        <v>886</v>
      </c>
      <c r="C260" s="2" t="s">
        <v>916</v>
      </c>
      <c r="D260" s="2" t="s">
        <v>917</v>
      </c>
      <c r="E260" s="2">
        <v>12</v>
      </c>
      <c r="F260" s="2">
        <v>2466</v>
      </c>
      <c r="G260" s="2">
        <v>1.22</v>
      </c>
    </row>
    <row r="261" spans="1:7" ht="16" x14ac:dyDescent="0.2">
      <c r="A261" s="2" t="s">
        <v>298</v>
      </c>
      <c r="B261" s="2" t="s">
        <v>886</v>
      </c>
      <c r="C261" s="2" t="s">
        <v>917</v>
      </c>
      <c r="D261" s="2" t="s">
        <v>918</v>
      </c>
      <c r="E261" s="2">
        <v>12</v>
      </c>
      <c r="F261" s="2">
        <v>3843</v>
      </c>
      <c r="G261" s="2">
        <v>1.86</v>
      </c>
    </row>
    <row r="262" spans="1:7" ht="16" x14ac:dyDescent="0.2">
      <c r="A262" s="2" t="s">
        <v>298</v>
      </c>
      <c r="B262" s="2" t="s">
        <v>886</v>
      </c>
      <c r="C262" s="2" t="s">
        <v>918</v>
      </c>
      <c r="D262" s="2" t="s">
        <v>919</v>
      </c>
      <c r="E262" s="2">
        <v>12</v>
      </c>
      <c r="F262" s="2">
        <v>4150</v>
      </c>
      <c r="G262" s="2">
        <v>1.97</v>
      </c>
    </row>
    <row r="263" spans="1:7" ht="16" x14ac:dyDescent="0.2">
      <c r="A263" s="2" t="s">
        <v>298</v>
      </c>
      <c r="B263" s="2" t="s">
        <v>886</v>
      </c>
      <c r="C263" s="2" t="s">
        <v>919</v>
      </c>
      <c r="D263" s="2" t="s">
        <v>920</v>
      </c>
      <c r="E263" s="2">
        <v>12</v>
      </c>
      <c r="F263" s="2">
        <v>2265</v>
      </c>
      <c r="G263" s="2">
        <v>1.06</v>
      </c>
    </row>
    <row r="264" spans="1:7" ht="16" x14ac:dyDescent="0.2">
      <c r="A264" s="2" t="s">
        <v>298</v>
      </c>
      <c r="B264" s="2" t="s">
        <v>886</v>
      </c>
      <c r="C264" s="2" t="s">
        <v>920</v>
      </c>
      <c r="D264" s="2" t="s">
        <v>921</v>
      </c>
      <c r="E264" s="2">
        <v>12</v>
      </c>
      <c r="F264" s="2">
        <v>13823</v>
      </c>
      <c r="G264" s="2">
        <v>6.1</v>
      </c>
    </row>
    <row r="265" spans="1:7" ht="16" x14ac:dyDescent="0.2">
      <c r="A265" s="2" t="s">
        <v>298</v>
      </c>
      <c r="B265" s="2" t="s">
        <v>886</v>
      </c>
      <c r="C265" s="2" t="s">
        <v>921</v>
      </c>
      <c r="D265" s="2" t="s">
        <v>922</v>
      </c>
      <c r="E265" s="2">
        <v>12</v>
      </c>
      <c r="F265" s="2">
        <v>790</v>
      </c>
      <c r="G265" s="2">
        <v>0.35</v>
      </c>
    </row>
    <row r="266" spans="1:7" ht="16" x14ac:dyDescent="0.2">
      <c r="A266" s="2" t="s">
        <v>298</v>
      </c>
      <c r="B266" s="2" t="s">
        <v>886</v>
      </c>
      <c r="C266" s="2" t="s">
        <v>922</v>
      </c>
      <c r="D266" s="2" t="s">
        <v>923</v>
      </c>
      <c r="E266" s="2">
        <v>12</v>
      </c>
      <c r="F266" s="2">
        <v>3281</v>
      </c>
      <c r="G266" s="2">
        <v>1.42</v>
      </c>
    </row>
    <row r="267" spans="1:7" ht="16" x14ac:dyDescent="0.2">
      <c r="A267" s="2" t="s">
        <v>298</v>
      </c>
      <c r="B267" s="2" t="s">
        <v>886</v>
      </c>
      <c r="C267" s="2" t="s">
        <v>923</v>
      </c>
      <c r="D267" s="2" t="s">
        <v>924</v>
      </c>
      <c r="E267" s="2">
        <v>12</v>
      </c>
      <c r="F267" s="2">
        <v>366</v>
      </c>
      <c r="G267" s="2">
        <v>0.16</v>
      </c>
    </row>
    <row r="268" spans="1:7" ht="16" x14ac:dyDescent="0.2">
      <c r="A268" s="2" t="s">
        <v>298</v>
      </c>
      <c r="B268" s="2" t="s">
        <v>886</v>
      </c>
      <c r="C268" s="2" t="s">
        <v>924</v>
      </c>
      <c r="D268" s="2" t="s">
        <v>925</v>
      </c>
      <c r="E268" s="2">
        <v>12</v>
      </c>
      <c r="F268" s="2">
        <v>4689</v>
      </c>
      <c r="G268" s="2">
        <v>1.99</v>
      </c>
    </row>
    <row r="269" spans="1:7" ht="16" x14ac:dyDescent="0.2">
      <c r="A269" s="2" t="s">
        <v>298</v>
      </c>
      <c r="B269" s="2" t="s">
        <v>886</v>
      </c>
      <c r="C269" s="2" t="s">
        <v>925</v>
      </c>
      <c r="D269" s="2" t="s">
        <v>926</v>
      </c>
      <c r="E269" s="2">
        <v>12</v>
      </c>
      <c r="F269" s="2">
        <v>1518</v>
      </c>
      <c r="G269" s="2">
        <v>0.64</v>
      </c>
    </row>
    <row r="270" spans="1:7" ht="16" x14ac:dyDescent="0.2">
      <c r="A270" s="2" t="s">
        <v>298</v>
      </c>
      <c r="B270" s="2" t="s">
        <v>886</v>
      </c>
      <c r="C270" s="2" t="s">
        <v>926</v>
      </c>
      <c r="D270" s="2" t="s">
        <v>927</v>
      </c>
      <c r="E270" s="2">
        <v>12</v>
      </c>
      <c r="F270" s="2">
        <v>2001</v>
      </c>
      <c r="G270" s="2">
        <v>0.84</v>
      </c>
    </row>
    <row r="271" spans="1:7" ht="16" x14ac:dyDescent="0.2">
      <c r="A271" s="2" t="s">
        <v>298</v>
      </c>
      <c r="B271" s="2" t="s">
        <v>886</v>
      </c>
      <c r="C271" s="2" t="s">
        <v>927</v>
      </c>
      <c r="D271" s="2" t="s">
        <v>928</v>
      </c>
      <c r="E271" s="2">
        <v>12</v>
      </c>
      <c r="F271" s="2">
        <v>389</v>
      </c>
      <c r="G271" s="2">
        <v>0.16</v>
      </c>
    </row>
    <row r="272" spans="1:7" ht="16" x14ac:dyDescent="0.2">
      <c r="A272" s="2" t="s">
        <v>298</v>
      </c>
      <c r="B272" s="2" t="s">
        <v>886</v>
      </c>
      <c r="C272" s="2" t="s">
        <v>928</v>
      </c>
      <c r="D272" s="2" t="s">
        <v>929</v>
      </c>
      <c r="E272" s="2">
        <v>12</v>
      </c>
      <c r="F272" s="2">
        <v>3487</v>
      </c>
      <c r="G272" s="2">
        <v>1.43</v>
      </c>
    </row>
    <row r="273" spans="1:7" ht="16" x14ac:dyDescent="0.2">
      <c r="A273" s="2" t="s">
        <v>298</v>
      </c>
      <c r="B273" s="2" t="s">
        <v>886</v>
      </c>
      <c r="C273" s="2" t="s">
        <v>929</v>
      </c>
      <c r="D273" s="2" t="s">
        <v>930</v>
      </c>
      <c r="E273" s="2">
        <v>12</v>
      </c>
      <c r="F273" s="2">
        <v>298</v>
      </c>
      <c r="G273" s="2">
        <v>0.12</v>
      </c>
    </row>
    <row r="274" spans="1:7" ht="16" x14ac:dyDescent="0.2">
      <c r="A274" s="2" t="s">
        <v>298</v>
      </c>
      <c r="B274" s="2" t="s">
        <v>886</v>
      </c>
      <c r="C274" s="2" t="s">
        <v>930</v>
      </c>
      <c r="D274" s="2" t="s">
        <v>931</v>
      </c>
      <c r="E274" s="2">
        <v>12</v>
      </c>
      <c r="F274" s="2">
        <v>2831</v>
      </c>
      <c r="G274" s="2">
        <v>1.1499999999999999</v>
      </c>
    </row>
    <row r="275" spans="1:7" ht="16" x14ac:dyDescent="0.2">
      <c r="A275" s="2" t="s">
        <v>298</v>
      </c>
      <c r="B275" s="2" t="s">
        <v>886</v>
      </c>
      <c r="C275" s="2" t="s">
        <v>931</v>
      </c>
      <c r="D275" s="2" t="s">
        <v>932</v>
      </c>
      <c r="E275" s="2">
        <v>12</v>
      </c>
      <c r="F275" s="2">
        <v>842</v>
      </c>
      <c r="G275" s="2">
        <v>0.34</v>
      </c>
    </row>
    <row r="276" spans="1:7" ht="16" x14ac:dyDescent="0.2">
      <c r="A276" s="2" t="s">
        <v>298</v>
      </c>
      <c r="B276" s="2" t="s">
        <v>886</v>
      </c>
      <c r="C276" s="2" t="s">
        <v>932</v>
      </c>
      <c r="D276" s="2" t="s">
        <v>933</v>
      </c>
      <c r="E276" s="2">
        <v>12</v>
      </c>
      <c r="F276" s="2">
        <v>1509</v>
      </c>
      <c r="G276" s="2">
        <v>0.61</v>
      </c>
    </row>
    <row r="277" spans="1:7" ht="16" x14ac:dyDescent="0.2">
      <c r="A277" s="2" t="s">
        <v>298</v>
      </c>
      <c r="B277" s="2" t="s">
        <v>886</v>
      </c>
      <c r="C277" s="2" t="s">
        <v>933</v>
      </c>
      <c r="D277" s="2" t="s">
        <v>934</v>
      </c>
      <c r="E277" s="2">
        <v>12</v>
      </c>
      <c r="F277" s="2">
        <v>319</v>
      </c>
      <c r="G277" s="2">
        <v>0.13</v>
      </c>
    </row>
    <row r="278" spans="1:7" ht="16" x14ac:dyDescent="0.2">
      <c r="A278" s="2" t="s">
        <v>298</v>
      </c>
      <c r="B278" s="2" t="s">
        <v>886</v>
      </c>
      <c r="C278" s="2" t="s">
        <v>934</v>
      </c>
      <c r="D278" s="2" t="s">
        <v>935</v>
      </c>
      <c r="E278" s="2">
        <v>12</v>
      </c>
      <c r="F278" s="2">
        <v>15</v>
      </c>
      <c r="G278" s="2">
        <v>0.01</v>
      </c>
    </row>
    <row r="279" spans="1:7" ht="16" x14ac:dyDescent="0.2">
      <c r="A279" s="2" t="s">
        <v>298</v>
      </c>
      <c r="B279" s="2" t="s">
        <v>886</v>
      </c>
      <c r="C279" s="2" t="s">
        <v>935</v>
      </c>
      <c r="D279" s="2" t="s">
        <v>936</v>
      </c>
      <c r="E279" s="2">
        <v>12</v>
      </c>
      <c r="F279" s="2">
        <v>569</v>
      </c>
      <c r="G279" s="2">
        <v>0.23</v>
      </c>
    </row>
    <row r="280" spans="1:7" ht="16" x14ac:dyDescent="0.2">
      <c r="A280" s="2" t="s">
        <v>298</v>
      </c>
      <c r="B280" s="2" t="s">
        <v>886</v>
      </c>
      <c r="C280" s="2" t="s">
        <v>936</v>
      </c>
      <c r="D280" s="2" t="s">
        <v>937</v>
      </c>
      <c r="E280" s="2">
        <v>12</v>
      </c>
      <c r="F280" s="2">
        <v>0</v>
      </c>
      <c r="G280" s="2">
        <v>0</v>
      </c>
    </row>
    <row r="281" spans="1:7" ht="16" x14ac:dyDescent="0.2">
      <c r="A281" s="2" t="s">
        <v>298</v>
      </c>
      <c r="B281" s="2" t="s">
        <v>886</v>
      </c>
      <c r="C281" s="2" t="s">
        <v>937</v>
      </c>
      <c r="D281" s="2" t="s">
        <v>938</v>
      </c>
      <c r="E281" s="2">
        <v>12</v>
      </c>
      <c r="F281" s="2">
        <v>0</v>
      </c>
      <c r="G281" s="2">
        <v>0</v>
      </c>
    </row>
    <row r="282" spans="1:7" ht="16" x14ac:dyDescent="0.2">
      <c r="A282" s="2" t="s">
        <v>298</v>
      </c>
      <c r="B282" s="2" t="s">
        <v>886</v>
      </c>
      <c r="C282" s="2" t="s">
        <v>938</v>
      </c>
      <c r="D282" s="2" t="s">
        <v>939</v>
      </c>
      <c r="E282" s="2">
        <v>12</v>
      </c>
      <c r="F282" s="2">
        <v>0</v>
      </c>
      <c r="G282" s="2">
        <v>0</v>
      </c>
    </row>
    <row r="283" spans="1:7" ht="16" x14ac:dyDescent="0.2">
      <c r="A283" s="2" t="s">
        <v>298</v>
      </c>
      <c r="B283" s="2" t="s">
        <v>886</v>
      </c>
      <c r="C283" s="2" t="s">
        <v>939</v>
      </c>
      <c r="D283" s="2" t="s">
        <v>940</v>
      </c>
      <c r="E283" s="2">
        <v>12</v>
      </c>
      <c r="F283" s="2">
        <v>0</v>
      </c>
      <c r="G283" s="2">
        <v>0</v>
      </c>
    </row>
    <row r="284" spans="1:7" ht="16" x14ac:dyDescent="0.2">
      <c r="A284" s="2" t="s">
        <v>298</v>
      </c>
      <c r="B284" s="2" t="s">
        <v>886</v>
      </c>
      <c r="C284" s="2" t="s">
        <v>940</v>
      </c>
      <c r="D284" s="2" t="s">
        <v>941</v>
      </c>
      <c r="E284" s="2">
        <v>12</v>
      </c>
      <c r="F284" s="2">
        <v>0</v>
      </c>
      <c r="G284" s="2">
        <v>0</v>
      </c>
    </row>
    <row r="285" spans="1:7" ht="16" x14ac:dyDescent="0.2">
      <c r="A285" s="2" t="s">
        <v>298</v>
      </c>
      <c r="B285" s="2" t="s">
        <v>886</v>
      </c>
      <c r="C285" s="2" t="s">
        <v>941</v>
      </c>
      <c r="D285" s="2" t="s">
        <v>942</v>
      </c>
      <c r="E285" s="2">
        <v>12</v>
      </c>
      <c r="F285" s="2">
        <v>0</v>
      </c>
      <c r="G285" s="2">
        <v>0</v>
      </c>
    </row>
    <row r="286" spans="1:7" ht="16" x14ac:dyDescent="0.2">
      <c r="A286" s="2" t="s">
        <v>298</v>
      </c>
      <c r="B286" s="2" t="s">
        <v>886</v>
      </c>
      <c r="C286" s="2" t="s">
        <v>942</v>
      </c>
      <c r="D286" s="2" t="s">
        <v>943</v>
      </c>
      <c r="E286" s="2">
        <v>12</v>
      </c>
      <c r="F286" s="2">
        <v>0</v>
      </c>
      <c r="G286" s="2">
        <v>0</v>
      </c>
    </row>
    <row r="287" spans="1:7" ht="16" x14ac:dyDescent="0.2">
      <c r="A287" s="2" t="s">
        <v>298</v>
      </c>
      <c r="B287" s="2" t="s">
        <v>886</v>
      </c>
      <c r="C287" s="2" t="s">
        <v>943</v>
      </c>
      <c r="D287" s="2" t="s">
        <v>944</v>
      </c>
      <c r="E287" s="2">
        <v>12</v>
      </c>
      <c r="F287" s="2">
        <v>0</v>
      </c>
      <c r="G287" s="2">
        <v>0</v>
      </c>
    </row>
    <row r="288" spans="1:7" ht="16" x14ac:dyDescent="0.2">
      <c r="A288" s="2" t="s">
        <v>298</v>
      </c>
      <c r="B288" s="2" t="s">
        <v>886</v>
      </c>
      <c r="C288" s="2" t="s">
        <v>944</v>
      </c>
      <c r="D288" s="2" t="s">
        <v>945</v>
      </c>
      <c r="E288" s="2">
        <v>12</v>
      </c>
      <c r="F288" s="2">
        <v>0</v>
      </c>
      <c r="G288" s="2">
        <v>0</v>
      </c>
    </row>
    <row r="289" spans="1:7" ht="16" x14ac:dyDescent="0.2">
      <c r="A289" s="2" t="s">
        <v>298</v>
      </c>
      <c r="B289" s="2" t="s">
        <v>886</v>
      </c>
      <c r="C289" s="2" t="s">
        <v>945</v>
      </c>
      <c r="D289" s="2" t="s">
        <v>946</v>
      </c>
      <c r="E289" s="2">
        <v>12</v>
      </c>
      <c r="F289" s="2">
        <v>0</v>
      </c>
      <c r="G289" s="2">
        <v>0</v>
      </c>
    </row>
    <row r="290" spans="1:7" ht="16" x14ac:dyDescent="0.2">
      <c r="A290" s="2" t="s">
        <v>298</v>
      </c>
      <c r="B290" s="2" t="s">
        <v>886</v>
      </c>
      <c r="C290" s="2" t="s">
        <v>946</v>
      </c>
      <c r="D290" s="2" t="s">
        <v>947</v>
      </c>
      <c r="E290" s="2">
        <v>12</v>
      </c>
      <c r="F290" s="2">
        <v>0</v>
      </c>
      <c r="G290" s="2">
        <v>0</v>
      </c>
    </row>
    <row r="291" spans="1:7" ht="16" x14ac:dyDescent="0.2">
      <c r="A291" s="2" t="s">
        <v>298</v>
      </c>
      <c r="B291" s="2" t="s">
        <v>886</v>
      </c>
      <c r="C291" s="2" t="s">
        <v>947</v>
      </c>
      <c r="D291" s="2" t="s">
        <v>948</v>
      </c>
      <c r="E291" s="2">
        <v>12</v>
      </c>
      <c r="F291" s="2">
        <v>0</v>
      </c>
      <c r="G291" s="2">
        <v>0</v>
      </c>
    </row>
    <row r="292" spans="1:7" ht="16" x14ac:dyDescent="0.2">
      <c r="A292" s="2" t="s">
        <v>298</v>
      </c>
      <c r="B292" s="2" t="s">
        <v>886</v>
      </c>
      <c r="C292" s="2" t="s">
        <v>948</v>
      </c>
      <c r="D292" s="2" t="s">
        <v>949</v>
      </c>
      <c r="E292" s="2">
        <v>12</v>
      </c>
      <c r="F292" s="2">
        <v>0</v>
      </c>
      <c r="G292" s="2">
        <v>0</v>
      </c>
    </row>
    <row r="293" spans="1:7" ht="16" x14ac:dyDescent="0.2">
      <c r="A293" s="2" t="s">
        <v>298</v>
      </c>
      <c r="B293" s="2" t="s">
        <v>886</v>
      </c>
      <c r="C293" s="2" t="s">
        <v>949</v>
      </c>
      <c r="D293" s="2" t="s">
        <v>950</v>
      </c>
      <c r="E293" s="2">
        <v>12</v>
      </c>
      <c r="F293" s="2">
        <v>0</v>
      </c>
      <c r="G293" s="2">
        <v>0</v>
      </c>
    </row>
    <row r="294" spans="1:7" ht="16" x14ac:dyDescent="0.2">
      <c r="A294" s="2" t="s">
        <v>298</v>
      </c>
      <c r="B294" s="2" t="s">
        <v>886</v>
      </c>
      <c r="C294" s="2" t="s">
        <v>950</v>
      </c>
      <c r="D294" s="2" t="s">
        <v>951</v>
      </c>
      <c r="E294" s="2">
        <v>12</v>
      </c>
      <c r="F294" s="2">
        <v>0</v>
      </c>
      <c r="G294" s="2">
        <v>0</v>
      </c>
    </row>
    <row r="295" spans="1:7" ht="16" x14ac:dyDescent="0.2">
      <c r="A295" s="2" t="s">
        <v>298</v>
      </c>
      <c r="B295" s="2" t="s">
        <v>886</v>
      </c>
      <c r="C295" s="2" t="s">
        <v>951</v>
      </c>
      <c r="D295" s="2" t="s">
        <v>952</v>
      </c>
      <c r="E295" s="2">
        <v>12</v>
      </c>
      <c r="F295" s="2">
        <v>0</v>
      </c>
      <c r="G295" s="2">
        <v>0</v>
      </c>
    </row>
    <row r="296" spans="1:7" ht="16" x14ac:dyDescent="0.2">
      <c r="A296" s="2" t="s">
        <v>298</v>
      </c>
      <c r="B296" s="2" t="s">
        <v>886</v>
      </c>
      <c r="C296" s="2" t="s">
        <v>952</v>
      </c>
      <c r="D296" s="2" t="s">
        <v>953</v>
      </c>
      <c r="E296" s="2">
        <v>12</v>
      </c>
      <c r="F296" s="2">
        <v>0</v>
      </c>
      <c r="G296" s="2">
        <v>0</v>
      </c>
    </row>
    <row r="297" spans="1:7" ht="16" x14ac:dyDescent="0.2">
      <c r="A297" s="2" t="s">
        <v>298</v>
      </c>
      <c r="B297" s="2" t="s">
        <v>886</v>
      </c>
      <c r="C297" s="2" t="s">
        <v>953</v>
      </c>
      <c r="D297" s="2" t="s">
        <v>954</v>
      </c>
      <c r="E297" s="2">
        <v>12</v>
      </c>
      <c r="F297" s="2">
        <v>0</v>
      </c>
      <c r="G297" s="2">
        <v>0</v>
      </c>
    </row>
    <row r="298" spans="1:7" ht="16" x14ac:dyDescent="0.2">
      <c r="A298" s="2" t="s">
        <v>298</v>
      </c>
      <c r="B298" s="2" t="s">
        <v>886</v>
      </c>
      <c r="C298" s="2" t="s">
        <v>954</v>
      </c>
      <c r="D298" s="2" t="s">
        <v>717</v>
      </c>
      <c r="E298" s="2">
        <v>12</v>
      </c>
      <c r="F298" s="2">
        <v>0</v>
      </c>
      <c r="G298" s="2">
        <v>0</v>
      </c>
    </row>
    <row r="299" spans="1:7" ht="16" x14ac:dyDescent="0.2">
      <c r="A299" s="2" t="s">
        <v>298</v>
      </c>
      <c r="B299" s="2" t="s">
        <v>886</v>
      </c>
      <c r="C299" s="2" t="s">
        <v>717</v>
      </c>
      <c r="D299" s="2" t="s">
        <v>955</v>
      </c>
      <c r="E299" s="2">
        <v>12</v>
      </c>
      <c r="F299" s="2">
        <v>0</v>
      </c>
      <c r="G299" s="2">
        <v>0</v>
      </c>
    </row>
    <row r="300" spans="1:7" ht="16" x14ac:dyDescent="0.2">
      <c r="A300" s="2" t="s">
        <v>298</v>
      </c>
      <c r="B300" s="2" t="s">
        <v>886</v>
      </c>
      <c r="C300" s="2" t="s">
        <v>955</v>
      </c>
      <c r="D300" s="2" t="s">
        <v>956</v>
      </c>
      <c r="E300" s="2">
        <v>12</v>
      </c>
      <c r="F300" s="2">
        <v>0</v>
      </c>
      <c r="G300" s="2">
        <v>0</v>
      </c>
    </row>
    <row r="301" spans="1:7" ht="16" x14ac:dyDescent="0.2">
      <c r="A301" s="2" t="s">
        <v>298</v>
      </c>
      <c r="B301" s="2" t="s">
        <v>886</v>
      </c>
      <c r="C301" s="2" t="s">
        <v>956</v>
      </c>
      <c r="D301" s="2" t="s">
        <v>957</v>
      </c>
      <c r="E301" s="2">
        <v>12</v>
      </c>
      <c r="F301" s="2">
        <v>0</v>
      </c>
      <c r="G301" s="2">
        <v>0</v>
      </c>
    </row>
    <row r="302" spans="1:7" ht="16" x14ac:dyDescent="0.2">
      <c r="A302" s="2" t="s">
        <v>298</v>
      </c>
      <c r="B302" s="2" t="s">
        <v>886</v>
      </c>
      <c r="C302" s="2" t="s">
        <v>957</v>
      </c>
      <c r="D302" s="2" t="s">
        <v>958</v>
      </c>
      <c r="E302" s="2">
        <v>12</v>
      </c>
      <c r="F302" s="2">
        <v>0</v>
      </c>
      <c r="G302" s="2">
        <v>0</v>
      </c>
    </row>
    <row r="303" spans="1:7" ht="16" x14ac:dyDescent="0.2">
      <c r="A303" s="2" t="s">
        <v>298</v>
      </c>
      <c r="B303" s="2" t="s">
        <v>886</v>
      </c>
      <c r="C303" s="2" t="s">
        <v>958</v>
      </c>
      <c r="D303" s="2" t="s">
        <v>959</v>
      </c>
      <c r="E303" s="2">
        <v>12</v>
      </c>
      <c r="F303" s="2">
        <v>0</v>
      </c>
      <c r="G303" s="2">
        <v>0</v>
      </c>
    </row>
    <row r="304" spans="1:7" ht="16" x14ac:dyDescent="0.2">
      <c r="A304" s="2" t="s">
        <v>298</v>
      </c>
      <c r="B304" s="2" t="s">
        <v>886</v>
      </c>
      <c r="C304" s="2" t="s">
        <v>959</v>
      </c>
      <c r="D304" s="2" t="s">
        <v>960</v>
      </c>
      <c r="E304" s="2">
        <v>12</v>
      </c>
      <c r="F304" s="2">
        <v>0</v>
      </c>
      <c r="G304" s="2">
        <v>0</v>
      </c>
    </row>
    <row r="305" spans="1:7" ht="16" x14ac:dyDescent="0.2">
      <c r="A305" s="2" t="s">
        <v>298</v>
      </c>
      <c r="B305" s="2" t="s">
        <v>886</v>
      </c>
      <c r="C305" s="2" t="s">
        <v>960</v>
      </c>
      <c r="D305" s="2" t="s">
        <v>961</v>
      </c>
      <c r="E305" s="2">
        <v>12</v>
      </c>
      <c r="F305" s="2">
        <v>0</v>
      </c>
      <c r="G305" s="2">
        <v>0</v>
      </c>
    </row>
    <row r="306" spans="1:7" ht="16" x14ac:dyDescent="0.2">
      <c r="A306" s="2" t="s">
        <v>298</v>
      </c>
      <c r="B306" s="2" t="s">
        <v>886</v>
      </c>
      <c r="C306" s="2" t="s">
        <v>961</v>
      </c>
      <c r="D306" s="2" t="s">
        <v>962</v>
      </c>
      <c r="E306" s="2">
        <v>12</v>
      </c>
      <c r="F306" s="2">
        <v>0</v>
      </c>
      <c r="G306" s="2">
        <v>0</v>
      </c>
    </row>
    <row r="307" spans="1:7" ht="16" x14ac:dyDescent="0.2">
      <c r="A307" s="2" t="s">
        <v>298</v>
      </c>
      <c r="B307" s="2" t="s">
        <v>886</v>
      </c>
      <c r="C307" s="2" t="s">
        <v>962</v>
      </c>
      <c r="D307" s="2" t="s">
        <v>963</v>
      </c>
      <c r="E307" s="2">
        <v>12</v>
      </c>
      <c r="F307" s="2">
        <v>0</v>
      </c>
      <c r="G307" s="2">
        <v>0</v>
      </c>
    </row>
    <row r="308" spans="1:7" ht="16" x14ac:dyDescent="0.2">
      <c r="A308" s="2" t="s">
        <v>298</v>
      </c>
      <c r="B308" s="2" t="s">
        <v>886</v>
      </c>
      <c r="C308" s="2" t="s">
        <v>963</v>
      </c>
      <c r="D308" s="2" t="s">
        <v>964</v>
      </c>
      <c r="E308" s="2">
        <v>12</v>
      </c>
      <c r="F308" s="2">
        <v>0</v>
      </c>
      <c r="G308" s="2">
        <v>0</v>
      </c>
    </row>
    <row r="309" spans="1:7" ht="16" x14ac:dyDescent="0.2">
      <c r="A309" s="2" t="s">
        <v>298</v>
      </c>
      <c r="B309" s="2" t="s">
        <v>886</v>
      </c>
      <c r="C309" s="2" t="s">
        <v>964</v>
      </c>
      <c r="D309" s="2" t="s">
        <v>965</v>
      </c>
      <c r="E309" s="2">
        <v>12</v>
      </c>
      <c r="F309" s="2">
        <v>37</v>
      </c>
      <c r="G309" s="2">
        <v>0.01</v>
      </c>
    </row>
    <row r="310" spans="1:7" ht="16" x14ac:dyDescent="0.2">
      <c r="A310" s="2" t="s">
        <v>298</v>
      </c>
      <c r="B310" s="2" t="s">
        <v>886</v>
      </c>
      <c r="C310" s="2" t="s">
        <v>965</v>
      </c>
      <c r="D310" s="2" t="s">
        <v>966</v>
      </c>
      <c r="E310" s="2">
        <v>12</v>
      </c>
      <c r="F310" s="2">
        <v>0</v>
      </c>
      <c r="G310" s="2">
        <v>0</v>
      </c>
    </row>
    <row r="311" spans="1:7" ht="16" x14ac:dyDescent="0.2">
      <c r="A311" s="2" t="s">
        <v>298</v>
      </c>
      <c r="B311" s="2" t="s">
        <v>886</v>
      </c>
      <c r="C311" s="2" t="s">
        <v>966</v>
      </c>
      <c r="D311" s="2" t="s">
        <v>967</v>
      </c>
      <c r="E311" s="2">
        <v>12</v>
      </c>
      <c r="F311" s="2">
        <v>0</v>
      </c>
      <c r="G311" s="2">
        <v>0</v>
      </c>
    </row>
    <row r="312" spans="1:7" ht="16" x14ac:dyDescent="0.2">
      <c r="A312" s="2" t="s">
        <v>298</v>
      </c>
      <c r="B312" s="2" t="s">
        <v>886</v>
      </c>
      <c r="C312" s="2" t="s">
        <v>967</v>
      </c>
      <c r="D312" s="2" t="s">
        <v>968</v>
      </c>
      <c r="E312" s="2">
        <v>12</v>
      </c>
      <c r="F312" s="2">
        <v>0</v>
      </c>
      <c r="G312" s="2">
        <v>0</v>
      </c>
    </row>
    <row r="313" spans="1:7" ht="16" x14ac:dyDescent="0.2">
      <c r="A313" s="2" t="s">
        <v>298</v>
      </c>
      <c r="B313" s="2" t="s">
        <v>886</v>
      </c>
      <c r="C313" s="2" t="s">
        <v>968</v>
      </c>
      <c r="D313" s="2" t="s">
        <v>969</v>
      </c>
      <c r="E313" s="2">
        <v>12</v>
      </c>
      <c r="F313" s="2">
        <v>0</v>
      </c>
      <c r="G313" s="2">
        <v>0</v>
      </c>
    </row>
    <row r="314" spans="1:7" ht="16" x14ac:dyDescent="0.2">
      <c r="A314" s="2" t="s">
        <v>298</v>
      </c>
      <c r="B314" s="2" t="s">
        <v>803</v>
      </c>
      <c r="C314" s="2" t="s">
        <v>970</v>
      </c>
      <c r="D314" s="2" t="s">
        <v>971</v>
      </c>
      <c r="E314" s="2">
        <v>7.25</v>
      </c>
      <c r="F314" s="2">
        <v>1000</v>
      </c>
      <c r="G314" s="2">
        <v>40</v>
      </c>
    </row>
    <row r="315" spans="1:7" ht="16" x14ac:dyDescent="0.2">
      <c r="A315" s="2" t="s">
        <v>298</v>
      </c>
      <c r="B315" s="2" t="s">
        <v>803</v>
      </c>
      <c r="C315" s="2" t="s">
        <v>971</v>
      </c>
      <c r="D315" s="2" t="s">
        <v>972</v>
      </c>
      <c r="E315" s="2">
        <v>6.25</v>
      </c>
      <c r="F315" s="2">
        <v>0</v>
      </c>
      <c r="G315" s="2">
        <v>0</v>
      </c>
    </row>
    <row r="316" spans="1:7" ht="16" x14ac:dyDescent="0.2">
      <c r="A316" s="2" t="s">
        <v>298</v>
      </c>
      <c r="B316" s="2" t="s">
        <v>803</v>
      </c>
      <c r="C316" s="2" t="s">
        <v>972</v>
      </c>
      <c r="D316" s="2" t="s">
        <v>973</v>
      </c>
      <c r="E316" s="2">
        <v>3.5</v>
      </c>
      <c r="F316" s="2">
        <v>0</v>
      </c>
      <c r="G316" s="2">
        <v>0</v>
      </c>
    </row>
    <row r="317" spans="1:7" ht="16" x14ac:dyDescent="0.2">
      <c r="A317" s="2" t="s">
        <v>298</v>
      </c>
      <c r="B317" s="2" t="s">
        <v>803</v>
      </c>
      <c r="C317" s="2" t="s">
        <v>973</v>
      </c>
      <c r="D317" s="2" t="s">
        <v>974</v>
      </c>
      <c r="E317" s="2">
        <v>1.25</v>
      </c>
      <c r="F317" s="2">
        <v>626</v>
      </c>
      <c r="G317" s="2">
        <v>20.03</v>
      </c>
    </row>
    <row r="318" spans="1:7" ht="16" x14ac:dyDescent="0.2">
      <c r="A318" s="2" t="s">
        <v>298</v>
      </c>
      <c r="B318" s="2" t="s">
        <v>803</v>
      </c>
      <c r="C318" s="2" t="s">
        <v>974</v>
      </c>
      <c r="D318" s="2" t="s">
        <v>975</v>
      </c>
      <c r="E318" s="2">
        <v>6.75</v>
      </c>
      <c r="F318" s="2">
        <v>0</v>
      </c>
      <c r="G318" s="2">
        <v>0</v>
      </c>
    </row>
    <row r="319" spans="1:7" ht="16" x14ac:dyDescent="0.2">
      <c r="A319" s="2" t="s">
        <v>298</v>
      </c>
      <c r="B319" s="2" t="s">
        <v>803</v>
      </c>
      <c r="C319" s="2" t="s">
        <v>975</v>
      </c>
      <c r="D319" s="2" t="s">
        <v>976</v>
      </c>
      <c r="E319" s="2">
        <v>0.25</v>
      </c>
      <c r="F319" s="2">
        <v>0</v>
      </c>
      <c r="G319" s="2">
        <v>0</v>
      </c>
    </row>
    <row r="320" spans="1:7" ht="16" x14ac:dyDescent="0.2">
      <c r="A320" s="2" t="s">
        <v>298</v>
      </c>
      <c r="B320" s="2" t="s">
        <v>803</v>
      </c>
      <c r="C320" s="2" t="s">
        <v>976</v>
      </c>
      <c r="D320" s="2" t="s">
        <v>615</v>
      </c>
      <c r="E320" s="2">
        <v>12</v>
      </c>
      <c r="F320" s="2">
        <v>1374</v>
      </c>
      <c r="G320" s="2">
        <v>30.53</v>
      </c>
    </row>
    <row r="321" spans="1:7" ht="16" x14ac:dyDescent="0.2">
      <c r="A321" s="2" t="s">
        <v>298</v>
      </c>
      <c r="B321" s="2" t="s">
        <v>803</v>
      </c>
      <c r="C321" s="2" t="s">
        <v>615</v>
      </c>
      <c r="D321" s="2" t="s">
        <v>977</v>
      </c>
      <c r="E321" s="2">
        <v>11.5</v>
      </c>
      <c r="F321" s="2">
        <v>2273</v>
      </c>
      <c r="G321" s="2">
        <v>33.56</v>
      </c>
    </row>
    <row r="322" spans="1:7" ht="16" x14ac:dyDescent="0.2">
      <c r="A322" s="2" t="s">
        <v>298</v>
      </c>
      <c r="B322" s="2" t="s">
        <v>803</v>
      </c>
      <c r="C322" s="2" t="s">
        <v>977</v>
      </c>
      <c r="D322" s="2" t="s">
        <v>761</v>
      </c>
      <c r="E322" s="2">
        <v>11.75</v>
      </c>
      <c r="F322" s="2">
        <v>13227</v>
      </c>
      <c r="G322" s="2">
        <v>66.14</v>
      </c>
    </row>
    <row r="323" spans="1:7" ht="16" x14ac:dyDescent="0.2">
      <c r="A323" s="2" t="s">
        <v>298</v>
      </c>
      <c r="B323" s="2" t="s">
        <v>803</v>
      </c>
      <c r="C323" s="2" t="s">
        <v>761</v>
      </c>
      <c r="D323" s="2" t="s">
        <v>764</v>
      </c>
      <c r="E323" s="2">
        <v>12.75</v>
      </c>
      <c r="F323" s="2">
        <v>8763</v>
      </c>
      <c r="G323" s="2">
        <v>30.47</v>
      </c>
    </row>
    <row r="324" spans="1:7" ht="16" x14ac:dyDescent="0.2">
      <c r="A324" s="2" t="s">
        <v>298</v>
      </c>
      <c r="B324" s="2" t="s">
        <v>803</v>
      </c>
      <c r="C324" s="2" t="s">
        <v>764</v>
      </c>
      <c r="D324" s="2" t="s">
        <v>978</v>
      </c>
      <c r="E324" s="2">
        <v>0.5</v>
      </c>
      <c r="F324" s="2">
        <v>0</v>
      </c>
      <c r="G324" s="2">
        <v>0</v>
      </c>
    </row>
    <row r="325" spans="1:7" ht="16" x14ac:dyDescent="0.2">
      <c r="A325" s="2" t="s">
        <v>298</v>
      </c>
      <c r="B325" s="2" t="s">
        <v>803</v>
      </c>
      <c r="C325" s="2" t="s">
        <v>978</v>
      </c>
      <c r="D325" s="2" t="s">
        <v>979</v>
      </c>
      <c r="E325" s="2">
        <v>0.75</v>
      </c>
      <c r="F325" s="2">
        <v>0</v>
      </c>
      <c r="G325" s="2">
        <v>0</v>
      </c>
    </row>
    <row r="326" spans="1:7" ht="16" x14ac:dyDescent="0.2">
      <c r="A326" s="2" t="s">
        <v>298</v>
      </c>
      <c r="B326" s="2" t="s">
        <v>803</v>
      </c>
      <c r="C326" s="2" t="s">
        <v>979</v>
      </c>
      <c r="D326" s="2" t="s">
        <v>980</v>
      </c>
      <c r="E326" s="2">
        <v>11</v>
      </c>
      <c r="F326" s="2">
        <v>15687</v>
      </c>
      <c r="G326" s="2">
        <v>35.29</v>
      </c>
    </row>
    <row r="327" spans="1:7" ht="16" x14ac:dyDescent="0.2">
      <c r="A327" s="2" t="s">
        <v>298</v>
      </c>
      <c r="B327" s="2" t="s">
        <v>803</v>
      </c>
      <c r="C327" s="2" t="s">
        <v>980</v>
      </c>
      <c r="D327" s="2" t="s">
        <v>981</v>
      </c>
      <c r="E327" s="2">
        <v>12</v>
      </c>
      <c r="F327" s="2">
        <v>3862</v>
      </c>
      <c r="G327" s="2">
        <v>7.99</v>
      </c>
    </row>
    <row r="328" spans="1:7" ht="16" x14ac:dyDescent="0.2">
      <c r="A328" s="2" t="s">
        <v>298</v>
      </c>
      <c r="B328" s="2" t="s">
        <v>803</v>
      </c>
      <c r="C328" s="2" t="s">
        <v>981</v>
      </c>
      <c r="D328" s="2" t="s">
        <v>982</v>
      </c>
      <c r="E328" s="2">
        <v>11.5</v>
      </c>
      <c r="F328" s="2">
        <v>32594</v>
      </c>
      <c r="G328" s="2">
        <v>40.29</v>
      </c>
    </row>
    <row r="329" spans="1:7" ht="16" x14ac:dyDescent="0.2">
      <c r="A329" s="2" t="s">
        <v>298</v>
      </c>
      <c r="B329" s="2" t="s">
        <v>803</v>
      </c>
      <c r="C329" s="2" t="s">
        <v>982</v>
      </c>
      <c r="D329" s="2" t="s">
        <v>983</v>
      </c>
      <c r="E329" s="2">
        <v>1.25</v>
      </c>
      <c r="F329" s="2">
        <v>0</v>
      </c>
      <c r="G329" s="2">
        <v>0</v>
      </c>
    </row>
    <row r="330" spans="1:7" ht="16" x14ac:dyDescent="0.2">
      <c r="A330" s="2" t="s">
        <v>298</v>
      </c>
      <c r="B330" s="2" t="s">
        <v>803</v>
      </c>
      <c r="C330" s="2" t="s">
        <v>983</v>
      </c>
      <c r="D330" s="2" t="s">
        <v>984</v>
      </c>
      <c r="E330" s="2">
        <v>11.25</v>
      </c>
      <c r="F330" s="2">
        <v>2894</v>
      </c>
      <c r="G330" s="2">
        <v>3.45</v>
      </c>
    </row>
    <row r="331" spans="1:7" ht="16" x14ac:dyDescent="0.2">
      <c r="A331" s="2" t="s">
        <v>298</v>
      </c>
      <c r="B331" s="2" t="s">
        <v>803</v>
      </c>
      <c r="C331" s="2" t="s">
        <v>984</v>
      </c>
      <c r="D331" s="2" t="s">
        <v>985</v>
      </c>
      <c r="E331" s="2">
        <v>12</v>
      </c>
      <c r="F331" s="2">
        <v>5394</v>
      </c>
      <c r="G331" s="2">
        <v>6.05</v>
      </c>
    </row>
    <row r="332" spans="1:7" ht="16" x14ac:dyDescent="0.2">
      <c r="A332" s="2" t="s">
        <v>298</v>
      </c>
      <c r="B332" s="2" t="s">
        <v>803</v>
      </c>
      <c r="C332" s="2" t="s">
        <v>985</v>
      </c>
      <c r="D332" s="2" t="s">
        <v>986</v>
      </c>
      <c r="E332" s="2">
        <v>12</v>
      </c>
      <c r="F332" s="2">
        <v>6174</v>
      </c>
      <c r="G332" s="2">
        <v>6.47</v>
      </c>
    </row>
    <row r="333" spans="1:7" ht="16" x14ac:dyDescent="0.2">
      <c r="A333" s="2" t="s">
        <v>298</v>
      </c>
      <c r="B333" s="2" t="s">
        <v>803</v>
      </c>
      <c r="C333" s="2" t="s">
        <v>986</v>
      </c>
      <c r="D333" s="2" t="s">
        <v>987</v>
      </c>
      <c r="E333" s="2">
        <v>12</v>
      </c>
      <c r="F333" s="2">
        <v>3356</v>
      </c>
      <c r="G333" s="2">
        <v>3.4</v>
      </c>
    </row>
    <row r="334" spans="1:7" ht="16" x14ac:dyDescent="0.2">
      <c r="A334" s="2" t="s">
        <v>298</v>
      </c>
      <c r="B334" s="2" t="s">
        <v>803</v>
      </c>
      <c r="C334" s="2" t="s">
        <v>987</v>
      </c>
      <c r="D334" s="2" t="s">
        <v>988</v>
      </c>
      <c r="E334" s="2">
        <v>12</v>
      </c>
      <c r="F334" s="2">
        <v>5048</v>
      </c>
      <c r="G334" s="2">
        <v>4.8600000000000003</v>
      </c>
    </row>
    <row r="335" spans="1:7" ht="16" x14ac:dyDescent="0.2">
      <c r="A335" s="2" t="s">
        <v>298</v>
      </c>
      <c r="B335" s="2" t="s">
        <v>803</v>
      </c>
      <c r="C335" s="2" t="s">
        <v>988</v>
      </c>
      <c r="D335" s="2" t="s">
        <v>989</v>
      </c>
      <c r="E335" s="2">
        <v>11.75</v>
      </c>
      <c r="F335" s="2">
        <v>6382</v>
      </c>
      <c r="G335" s="2">
        <v>5.79</v>
      </c>
    </row>
    <row r="336" spans="1:7" ht="16" x14ac:dyDescent="0.2">
      <c r="A336" s="2" t="s">
        <v>298</v>
      </c>
      <c r="B336" s="2" t="s">
        <v>803</v>
      </c>
      <c r="C336" s="2" t="s">
        <v>989</v>
      </c>
      <c r="D336" s="2" t="s">
        <v>990</v>
      </c>
      <c r="E336" s="2">
        <v>12.25</v>
      </c>
      <c r="F336" s="2">
        <v>2734</v>
      </c>
      <c r="G336" s="2">
        <v>2.42</v>
      </c>
    </row>
    <row r="337" spans="1:7" ht="16" x14ac:dyDescent="0.2">
      <c r="A337" s="2" t="s">
        <v>298</v>
      </c>
      <c r="B337" s="2" t="s">
        <v>803</v>
      </c>
      <c r="C337" s="2" t="s">
        <v>990</v>
      </c>
      <c r="D337" s="2" t="s">
        <v>991</v>
      </c>
      <c r="E337" s="2">
        <v>12</v>
      </c>
      <c r="F337" s="2">
        <v>2650</v>
      </c>
      <c r="G337" s="2">
        <v>2.29</v>
      </c>
    </row>
    <row r="338" spans="1:7" ht="16" x14ac:dyDescent="0.2">
      <c r="A338" s="2" t="s">
        <v>298</v>
      </c>
      <c r="B338" s="2" t="s">
        <v>803</v>
      </c>
      <c r="C338" s="2" t="s">
        <v>991</v>
      </c>
      <c r="D338" s="2" t="s">
        <v>992</v>
      </c>
      <c r="E338" s="2">
        <v>12</v>
      </c>
      <c r="F338" s="2">
        <v>5511</v>
      </c>
      <c r="G338" s="2">
        <v>4.55</v>
      </c>
    </row>
    <row r="339" spans="1:7" ht="16" x14ac:dyDescent="0.2">
      <c r="A339" s="2" t="s">
        <v>298</v>
      </c>
      <c r="B339" s="2" t="s">
        <v>803</v>
      </c>
      <c r="C339" s="2" t="s">
        <v>992</v>
      </c>
      <c r="D339" s="2" t="s">
        <v>993</v>
      </c>
      <c r="E339" s="2">
        <v>11.75</v>
      </c>
      <c r="F339" s="2">
        <v>4793</v>
      </c>
      <c r="G339" s="2">
        <v>3.81</v>
      </c>
    </row>
    <row r="340" spans="1:7" ht="16" x14ac:dyDescent="0.2">
      <c r="A340" s="2" t="s">
        <v>298</v>
      </c>
      <c r="B340" s="2" t="s">
        <v>803</v>
      </c>
      <c r="C340" s="2" t="s">
        <v>993</v>
      </c>
      <c r="D340" s="2" t="s">
        <v>994</v>
      </c>
      <c r="E340" s="2">
        <v>12.25</v>
      </c>
      <c r="F340" s="2">
        <v>1071</v>
      </c>
      <c r="G340" s="2">
        <v>0.84</v>
      </c>
    </row>
    <row r="341" spans="1:7" ht="16" x14ac:dyDescent="0.2">
      <c r="A341" s="2" t="s">
        <v>298</v>
      </c>
      <c r="B341" s="2" t="s">
        <v>803</v>
      </c>
      <c r="C341" s="2" t="s">
        <v>994</v>
      </c>
      <c r="D341" s="2" t="s">
        <v>995</v>
      </c>
      <c r="E341" s="2">
        <v>12</v>
      </c>
      <c r="F341" s="2">
        <v>4983</v>
      </c>
      <c r="G341" s="2">
        <v>3.78</v>
      </c>
    </row>
    <row r="342" spans="1:7" ht="16" x14ac:dyDescent="0.2">
      <c r="A342" s="2" t="s">
        <v>298</v>
      </c>
      <c r="B342" s="2" t="s">
        <v>803</v>
      </c>
      <c r="C342" s="2" t="s">
        <v>995</v>
      </c>
      <c r="D342" s="2" t="s">
        <v>996</v>
      </c>
      <c r="E342" s="2">
        <v>12</v>
      </c>
      <c r="F342" s="2">
        <v>2028</v>
      </c>
      <c r="G342" s="2">
        <v>1.51</v>
      </c>
    </row>
    <row r="343" spans="1:7" ht="16" x14ac:dyDescent="0.2">
      <c r="A343" s="2" t="s">
        <v>298</v>
      </c>
      <c r="B343" s="2" t="s">
        <v>803</v>
      </c>
      <c r="C343" s="2" t="s">
        <v>996</v>
      </c>
      <c r="D343" s="2" t="s">
        <v>997</v>
      </c>
      <c r="E343" s="2">
        <v>11.5</v>
      </c>
      <c r="F343" s="2">
        <v>7901</v>
      </c>
      <c r="G343" s="2">
        <v>5.57</v>
      </c>
    </row>
    <row r="344" spans="1:7" ht="16" x14ac:dyDescent="0.2">
      <c r="A344" s="2" t="s">
        <v>298</v>
      </c>
      <c r="B344" s="2" t="s">
        <v>803</v>
      </c>
      <c r="C344" s="2" t="s">
        <v>997</v>
      </c>
      <c r="D344" s="2" t="s">
        <v>998</v>
      </c>
      <c r="E344" s="2">
        <v>12.5</v>
      </c>
      <c r="F344" s="2">
        <v>3190</v>
      </c>
      <c r="G344" s="2">
        <v>2.2000000000000002</v>
      </c>
    </row>
    <row r="345" spans="1:7" ht="16" x14ac:dyDescent="0.2">
      <c r="A345" s="2" t="s">
        <v>298</v>
      </c>
      <c r="B345" s="2" t="s">
        <v>803</v>
      </c>
      <c r="C345" s="2" t="s">
        <v>998</v>
      </c>
      <c r="D345" s="2" t="s">
        <v>999</v>
      </c>
      <c r="E345" s="2">
        <v>11.75</v>
      </c>
      <c r="F345" s="2">
        <v>9509</v>
      </c>
      <c r="G345" s="2">
        <v>6.15</v>
      </c>
    </row>
    <row r="346" spans="1:7" ht="16" x14ac:dyDescent="0.2">
      <c r="A346" s="2" t="s">
        <v>298</v>
      </c>
      <c r="B346" s="2" t="s">
        <v>803</v>
      </c>
      <c r="C346" s="2" t="s">
        <v>999</v>
      </c>
      <c r="D346" s="2" t="s">
        <v>1000</v>
      </c>
      <c r="E346" s="2">
        <v>12.25</v>
      </c>
      <c r="F346" s="2">
        <v>5525</v>
      </c>
      <c r="G346" s="2">
        <v>3.45</v>
      </c>
    </row>
    <row r="347" spans="1:7" ht="16" x14ac:dyDescent="0.2">
      <c r="A347" s="2" t="s">
        <v>298</v>
      </c>
      <c r="B347" s="2" t="s">
        <v>803</v>
      </c>
      <c r="C347" s="2" t="s">
        <v>1000</v>
      </c>
      <c r="D347" s="2" t="s">
        <v>1001</v>
      </c>
      <c r="E347" s="2">
        <v>11.75</v>
      </c>
      <c r="F347" s="2">
        <v>3158</v>
      </c>
      <c r="G347" s="2">
        <v>1.93</v>
      </c>
    </row>
    <row r="348" spans="1:7" ht="16" x14ac:dyDescent="0.2">
      <c r="A348" s="2" t="s">
        <v>298</v>
      </c>
      <c r="B348" s="2" t="s">
        <v>803</v>
      </c>
      <c r="C348" s="2" t="s">
        <v>1001</v>
      </c>
      <c r="D348" s="2" t="s">
        <v>1002</v>
      </c>
      <c r="E348" s="2">
        <v>12</v>
      </c>
      <c r="F348" s="2">
        <v>1206</v>
      </c>
      <c r="G348" s="2">
        <v>0.73</v>
      </c>
    </row>
    <row r="349" spans="1:7" ht="16" x14ac:dyDescent="0.2">
      <c r="A349" s="2" t="s">
        <v>298</v>
      </c>
      <c r="B349" s="2" t="s">
        <v>803</v>
      </c>
      <c r="C349" s="2" t="s">
        <v>1002</v>
      </c>
      <c r="D349" s="2" t="s">
        <v>1003</v>
      </c>
      <c r="E349" s="2">
        <v>12</v>
      </c>
      <c r="F349" s="2">
        <v>2700</v>
      </c>
      <c r="G349" s="2">
        <v>1.62</v>
      </c>
    </row>
    <row r="350" spans="1:7" ht="16" x14ac:dyDescent="0.2">
      <c r="A350" s="2" t="s">
        <v>298</v>
      </c>
      <c r="B350" s="2" t="s">
        <v>803</v>
      </c>
      <c r="C350" s="2" t="s">
        <v>1003</v>
      </c>
      <c r="D350" s="2" t="s">
        <v>1004</v>
      </c>
      <c r="E350" s="2">
        <v>12</v>
      </c>
      <c r="F350" s="2">
        <v>4942</v>
      </c>
      <c r="G350" s="2">
        <v>2.87</v>
      </c>
    </row>
    <row r="351" spans="1:7" ht="16" x14ac:dyDescent="0.2">
      <c r="A351" s="2" t="s">
        <v>298</v>
      </c>
      <c r="B351" s="2" t="s">
        <v>803</v>
      </c>
      <c r="C351" s="2" t="s">
        <v>1004</v>
      </c>
      <c r="D351" s="2" t="s">
        <v>1005</v>
      </c>
      <c r="E351" s="2">
        <v>12.25</v>
      </c>
      <c r="F351" s="2">
        <v>1467</v>
      </c>
      <c r="G351" s="2">
        <v>0.85</v>
      </c>
    </row>
    <row r="352" spans="1:7" ht="16" x14ac:dyDescent="0.2">
      <c r="A352" s="2" t="s">
        <v>298</v>
      </c>
      <c r="B352" s="2" t="s">
        <v>803</v>
      </c>
      <c r="C352" s="2" t="s">
        <v>1005</v>
      </c>
      <c r="D352" s="2" t="s">
        <v>1006</v>
      </c>
      <c r="E352" s="2">
        <v>12</v>
      </c>
      <c r="F352" s="2">
        <v>2547</v>
      </c>
      <c r="G352" s="2">
        <v>1.45</v>
      </c>
    </row>
    <row r="353" spans="1:7" ht="16" x14ac:dyDescent="0.2">
      <c r="A353" s="2" t="s">
        <v>298</v>
      </c>
      <c r="B353" s="2" t="s">
        <v>803</v>
      </c>
      <c r="C353" s="2" t="s">
        <v>1006</v>
      </c>
      <c r="D353" s="2" t="s">
        <v>1007</v>
      </c>
      <c r="E353" s="2">
        <v>11.75</v>
      </c>
      <c r="F353" s="2">
        <v>1381</v>
      </c>
      <c r="G353" s="2">
        <v>0.78</v>
      </c>
    </row>
    <row r="354" spans="1:7" ht="16" x14ac:dyDescent="0.2">
      <c r="A354" s="2" t="s">
        <v>298</v>
      </c>
      <c r="B354" s="2" t="s">
        <v>803</v>
      </c>
      <c r="C354" s="2" t="s">
        <v>1007</v>
      </c>
      <c r="D354" s="2" t="s">
        <v>1008</v>
      </c>
      <c r="E354" s="2">
        <v>11.75</v>
      </c>
      <c r="F354" s="2">
        <v>1302</v>
      </c>
      <c r="G354" s="2">
        <v>0.73</v>
      </c>
    </row>
    <row r="355" spans="1:7" ht="16" x14ac:dyDescent="0.2">
      <c r="A355" s="2" t="s">
        <v>298</v>
      </c>
      <c r="B355" s="2" t="s">
        <v>803</v>
      </c>
      <c r="C355" s="2" t="s">
        <v>1008</v>
      </c>
      <c r="D355" s="2" t="s">
        <v>1009</v>
      </c>
      <c r="E355" s="2">
        <v>12</v>
      </c>
      <c r="F355" s="2">
        <v>2744</v>
      </c>
      <c r="G355" s="2">
        <v>1.51</v>
      </c>
    </row>
    <row r="356" spans="1:7" ht="16" x14ac:dyDescent="0.2">
      <c r="A356" s="2" t="s">
        <v>298</v>
      </c>
      <c r="B356" s="2" t="s">
        <v>803</v>
      </c>
      <c r="C356" s="2" t="s">
        <v>1009</v>
      </c>
      <c r="D356" s="2" t="s">
        <v>1010</v>
      </c>
      <c r="E356" s="2">
        <v>12</v>
      </c>
      <c r="F356" s="2">
        <v>2137</v>
      </c>
      <c r="G356" s="2">
        <v>1.1599999999999999</v>
      </c>
    </row>
    <row r="357" spans="1:7" ht="16" x14ac:dyDescent="0.2">
      <c r="A357" s="2" t="s">
        <v>298</v>
      </c>
      <c r="B357" s="2" t="s">
        <v>803</v>
      </c>
      <c r="C357" s="2" t="s">
        <v>1010</v>
      </c>
      <c r="D357" s="2" t="s">
        <v>1011</v>
      </c>
      <c r="E357" s="2">
        <v>12.25</v>
      </c>
      <c r="F357" s="2">
        <v>2783</v>
      </c>
      <c r="G357" s="2">
        <v>1.49</v>
      </c>
    </row>
    <row r="358" spans="1:7" ht="16" x14ac:dyDescent="0.2">
      <c r="A358" s="2" t="s">
        <v>298</v>
      </c>
      <c r="B358" s="2" t="s">
        <v>803</v>
      </c>
      <c r="C358" s="2" t="s">
        <v>1011</v>
      </c>
      <c r="D358" s="2" t="s">
        <v>1012</v>
      </c>
      <c r="E358" s="2">
        <v>12.25</v>
      </c>
      <c r="F358" s="2">
        <v>4457</v>
      </c>
      <c r="G358" s="2">
        <v>2.34</v>
      </c>
    </row>
    <row r="359" spans="1:7" ht="16" x14ac:dyDescent="0.2">
      <c r="A359" s="2" t="s">
        <v>298</v>
      </c>
      <c r="B359" s="2" t="s">
        <v>803</v>
      </c>
      <c r="C359" s="2" t="s">
        <v>1012</v>
      </c>
      <c r="D359" s="2" t="s">
        <v>1013</v>
      </c>
      <c r="E359" s="2">
        <v>12</v>
      </c>
      <c r="F359" s="2">
        <v>338</v>
      </c>
      <c r="G359" s="2">
        <v>0.18</v>
      </c>
    </row>
    <row r="360" spans="1:7" ht="16" x14ac:dyDescent="0.2">
      <c r="A360" s="2" t="s">
        <v>298</v>
      </c>
      <c r="B360" s="2" t="s">
        <v>803</v>
      </c>
      <c r="C360" s="2" t="s">
        <v>1013</v>
      </c>
      <c r="D360" s="2" t="s">
        <v>1014</v>
      </c>
      <c r="E360" s="2">
        <v>0.25</v>
      </c>
      <c r="F360" s="2">
        <v>0</v>
      </c>
      <c r="G360" s="2">
        <v>0</v>
      </c>
    </row>
    <row r="361" spans="1:7" ht="16" x14ac:dyDescent="0.2">
      <c r="A361" s="2" t="s">
        <v>298</v>
      </c>
      <c r="B361" s="2" t="s">
        <v>803</v>
      </c>
      <c r="C361" s="2" t="s">
        <v>1014</v>
      </c>
      <c r="D361" s="2" t="s">
        <v>1015</v>
      </c>
      <c r="E361" s="2">
        <v>23.75</v>
      </c>
      <c r="F361" s="2">
        <v>11765</v>
      </c>
      <c r="G361" s="2">
        <v>5.8</v>
      </c>
    </row>
    <row r="362" spans="1:7" ht="16" x14ac:dyDescent="0.2">
      <c r="A362" s="2" t="s">
        <v>298</v>
      </c>
      <c r="B362" s="2" t="s">
        <v>803</v>
      </c>
      <c r="C362" s="2" t="s">
        <v>1015</v>
      </c>
      <c r="D362" s="2" t="s">
        <v>1016</v>
      </c>
      <c r="E362" s="2">
        <v>12</v>
      </c>
      <c r="F362" s="2">
        <v>3840</v>
      </c>
      <c r="G362" s="2">
        <v>1.86</v>
      </c>
    </row>
    <row r="363" spans="1:7" ht="16" x14ac:dyDescent="0.2">
      <c r="A363" s="2" t="s">
        <v>298</v>
      </c>
      <c r="B363" s="2" t="s">
        <v>803</v>
      </c>
      <c r="C363" s="2" t="s">
        <v>1016</v>
      </c>
      <c r="D363" s="2" t="s">
        <v>1017</v>
      </c>
      <c r="E363" s="2">
        <v>11.75</v>
      </c>
      <c r="F363" s="2">
        <v>346</v>
      </c>
      <c r="G363" s="2">
        <v>0.17</v>
      </c>
    </row>
    <row r="364" spans="1:7" ht="16" x14ac:dyDescent="0.2">
      <c r="A364" s="2" t="s">
        <v>298</v>
      </c>
      <c r="B364" s="2" t="s">
        <v>803</v>
      </c>
      <c r="C364" s="2" t="s">
        <v>1017</v>
      </c>
      <c r="D364" s="2" t="s">
        <v>1018</v>
      </c>
      <c r="E364" s="2">
        <v>12</v>
      </c>
      <c r="F364" s="2">
        <v>3857</v>
      </c>
      <c r="G364" s="2">
        <v>1.83</v>
      </c>
    </row>
    <row r="365" spans="1:7" ht="16" x14ac:dyDescent="0.2">
      <c r="A365" s="2" t="s">
        <v>298</v>
      </c>
      <c r="B365" s="2" t="s">
        <v>803</v>
      </c>
      <c r="C365" s="2" t="s">
        <v>1018</v>
      </c>
      <c r="D365" s="2" t="s">
        <v>1019</v>
      </c>
      <c r="E365" s="2">
        <v>11.75</v>
      </c>
      <c r="F365" s="2">
        <v>19</v>
      </c>
      <c r="G365" s="2">
        <v>0.01</v>
      </c>
    </row>
    <row r="366" spans="1:7" ht="16" x14ac:dyDescent="0.2">
      <c r="A366" s="2" t="s">
        <v>298</v>
      </c>
      <c r="B366" s="2" t="s">
        <v>803</v>
      </c>
      <c r="C366" s="2" t="s">
        <v>1019</v>
      </c>
      <c r="D366" s="2" t="s">
        <v>1020</v>
      </c>
      <c r="E366" s="2">
        <v>0.5</v>
      </c>
      <c r="F366" s="2">
        <v>0</v>
      </c>
      <c r="G366" s="2">
        <v>0</v>
      </c>
    </row>
    <row r="367" spans="1:7" ht="16" x14ac:dyDescent="0.2">
      <c r="A367" s="2" t="s">
        <v>298</v>
      </c>
      <c r="B367" s="2" t="s">
        <v>803</v>
      </c>
      <c r="C367" s="2" t="s">
        <v>1020</v>
      </c>
      <c r="D367" s="2" t="s">
        <v>1021</v>
      </c>
      <c r="E367" s="2">
        <v>11</v>
      </c>
      <c r="F367" s="2">
        <v>3489</v>
      </c>
      <c r="G367" s="2">
        <v>1.63</v>
      </c>
    </row>
    <row r="368" spans="1:7" ht="16" x14ac:dyDescent="0.2">
      <c r="A368" s="2" t="s">
        <v>298</v>
      </c>
      <c r="B368" s="2" t="s">
        <v>803</v>
      </c>
      <c r="C368" s="2" t="s">
        <v>1021</v>
      </c>
      <c r="D368" s="2" t="s">
        <v>1022</v>
      </c>
      <c r="E368" s="2">
        <v>12.5</v>
      </c>
      <c r="F368" s="2">
        <v>0</v>
      </c>
      <c r="G368" s="2">
        <v>0</v>
      </c>
    </row>
    <row r="369" spans="1:7" ht="16" x14ac:dyDescent="0.2">
      <c r="A369" s="2" t="s">
        <v>298</v>
      </c>
      <c r="B369" s="2" t="s">
        <v>803</v>
      </c>
      <c r="C369" s="2" t="s">
        <v>1022</v>
      </c>
      <c r="D369" s="2" t="s">
        <v>1023</v>
      </c>
      <c r="E369" s="2">
        <v>0.25</v>
      </c>
      <c r="F369" s="2">
        <v>0</v>
      </c>
      <c r="G369" s="2">
        <v>0</v>
      </c>
    </row>
    <row r="370" spans="1:7" ht="16" x14ac:dyDescent="0.2">
      <c r="A370" s="2" t="s">
        <v>298</v>
      </c>
      <c r="B370" s="2" t="s">
        <v>803</v>
      </c>
      <c r="C370" s="2" t="s">
        <v>1023</v>
      </c>
      <c r="D370" s="2" t="s">
        <v>1024</v>
      </c>
      <c r="E370" s="2">
        <v>11</v>
      </c>
      <c r="F370" s="2">
        <v>841</v>
      </c>
      <c r="G370" s="2">
        <v>0.39</v>
      </c>
    </row>
    <row r="371" spans="1:7" ht="16" x14ac:dyDescent="0.2">
      <c r="A371" s="2" t="s">
        <v>298</v>
      </c>
      <c r="B371" s="2" t="s">
        <v>803</v>
      </c>
      <c r="C371" s="2" t="s">
        <v>1024</v>
      </c>
      <c r="D371" s="2" t="s">
        <v>1025</v>
      </c>
      <c r="E371" s="2">
        <v>13</v>
      </c>
      <c r="F371" s="2">
        <v>3230</v>
      </c>
      <c r="G371" s="2">
        <v>1.48</v>
      </c>
    </row>
    <row r="372" spans="1:7" ht="16" x14ac:dyDescent="0.2">
      <c r="A372" s="2" t="s">
        <v>298</v>
      </c>
      <c r="B372" s="2" t="s">
        <v>803</v>
      </c>
      <c r="C372" s="2" t="s">
        <v>1025</v>
      </c>
      <c r="D372" s="2" t="s">
        <v>1026</v>
      </c>
      <c r="E372" s="2">
        <v>11.25</v>
      </c>
      <c r="F372" s="2">
        <v>5012</v>
      </c>
      <c r="G372" s="2">
        <v>2.2400000000000002</v>
      </c>
    </row>
    <row r="373" spans="1:7" ht="16" x14ac:dyDescent="0.2">
      <c r="A373" s="2" t="s">
        <v>298</v>
      </c>
      <c r="B373" s="2" t="s">
        <v>803</v>
      </c>
      <c r="C373" s="2" t="s">
        <v>1026</v>
      </c>
      <c r="D373" s="2" t="s">
        <v>1027</v>
      </c>
      <c r="E373" s="2">
        <v>12.5</v>
      </c>
      <c r="F373" s="2">
        <v>489</v>
      </c>
      <c r="G373" s="2">
        <v>0.22</v>
      </c>
    </row>
    <row r="374" spans="1:7" ht="16" x14ac:dyDescent="0.2">
      <c r="A374" s="2" t="s">
        <v>298</v>
      </c>
      <c r="B374" s="2" t="s">
        <v>803</v>
      </c>
      <c r="C374" s="2" t="s">
        <v>1027</v>
      </c>
      <c r="D374" s="2" t="s">
        <v>1028</v>
      </c>
      <c r="E374" s="2">
        <v>10.5</v>
      </c>
      <c r="F374" s="2">
        <v>2986</v>
      </c>
      <c r="G374" s="2">
        <v>1.31</v>
      </c>
    </row>
    <row r="375" spans="1:7" ht="16" x14ac:dyDescent="0.2">
      <c r="A375" s="2" t="s">
        <v>298</v>
      </c>
      <c r="B375" s="2" t="s">
        <v>803</v>
      </c>
      <c r="C375" s="2" t="s">
        <v>1028</v>
      </c>
      <c r="D375" s="2" t="s">
        <v>1029</v>
      </c>
      <c r="E375" s="2">
        <v>13.5</v>
      </c>
      <c r="F375" s="2">
        <v>13</v>
      </c>
      <c r="G375" s="2">
        <v>0.01</v>
      </c>
    </row>
    <row r="376" spans="1:7" ht="16" x14ac:dyDescent="0.2">
      <c r="A376" s="2" t="s">
        <v>298</v>
      </c>
      <c r="B376" s="2" t="s">
        <v>803</v>
      </c>
      <c r="C376" s="2" t="s">
        <v>1029</v>
      </c>
      <c r="D376" s="2" t="s">
        <v>1030</v>
      </c>
      <c r="E376" s="2">
        <v>10.5</v>
      </c>
      <c r="F376" s="2">
        <v>0</v>
      </c>
      <c r="G376" s="2">
        <v>0</v>
      </c>
    </row>
    <row r="377" spans="1:7" ht="16" x14ac:dyDescent="0.2">
      <c r="A377" s="2" t="s">
        <v>298</v>
      </c>
      <c r="B377" s="2" t="s">
        <v>803</v>
      </c>
      <c r="C377" s="2" t="s">
        <v>1030</v>
      </c>
      <c r="D377" s="2" t="s">
        <v>1031</v>
      </c>
      <c r="E377" s="2">
        <v>13.5</v>
      </c>
      <c r="F377" s="2">
        <v>2553</v>
      </c>
      <c r="G377" s="2">
        <v>1.1100000000000001</v>
      </c>
    </row>
    <row r="378" spans="1:7" ht="16" x14ac:dyDescent="0.2">
      <c r="A378" s="2" t="s">
        <v>298</v>
      </c>
      <c r="B378" s="2" t="s">
        <v>803</v>
      </c>
      <c r="C378" s="2" t="s">
        <v>1031</v>
      </c>
      <c r="D378" s="2" t="s">
        <v>1032</v>
      </c>
      <c r="E378" s="2">
        <v>7.75</v>
      </c>
      <c r="F378" s="2">
        <v>0</v>
      </c>
      <c r="G378" s="2">
        <v>0</v>
      </c>
    </row>
    <row r="379" spans="1:7" ht="16" x14ac:dyDescent="0.2">
      <c r="A379" s="2" t="s">
        <v>298</v>
      </c>
      <c r="B379" s="2" t="s">
        <v>803</v>
      </c>
      <c r="C379" s="2" t="s">
        <v>1032</v>
      </c>
      <c r="D379" s="2" t="s">
        <v>1033</v>
      </c>
      <c r="E379" s="2">
        <v>16.25</v>
      </c>
      <c r="F379" s="2">
        <v>0</v>
      </c>
      <c r="G379" s="2">
        <v>0</v>
      </c>
    </row>
    <row r="380" spans="1:7" ht="16" x14ac:dyDescent="0.2">
      <c r="A380" s="2" t="s">
        <v>298</v>
      </c>
      <c r="B380" s="2" t="s">
        <v>803</v>
      </c>
      <c r="C380" s="2" t="s">
        <v>1033</v>
      </c>
      <c r="D380" s="2" t="s">
        <v>1034</v>
      </c>
      <c r="E380" s="2">
        <v>10</v>
      </c>
      <c r="F380" s="2">
        <v>0</v>
      </c>
      <c r="G380" s="2">
        <v>0</v>
      </c>
    </row>
    <row r="381" spans="1:7" ht="16" x14ac:dyDescent="0.2">
      <c r="A381" s="2" t="s">
        <v>298</v>
      </c>
      <c r="B381" s="2" t="s">
        <v>803</v>
      </c>
      <c r="C381" s="2" t="s">
        <v>1034</v>
      </c>
      <c r="D381" s="2" t="s">
        <v>1035</v>
      </c>
      <c r="E381" s="2">
        <v>14</v>
      </c>
      <c r="F381" s="2">
        <v>0</v>
      </c>
      <c r="G381" s="2">
        <v>0</v>
      </c>
    </row>
    <row r="382" spans="1:7" ht="16" x14ac:dyDescent="0.2">
      <c r="A382" s="2" t="s">
        <v>298</v>
      </c>
      <c r="B382" s="2" t="s">
        <v>803</v>
      </c>
      <c r="C382" s="2" t="s">
        <v>1035</v>
      </c>
      <c r="D382" s="2" t="s">
        <v>1036</v>
      </c>
      <c r="E382" s="2">
        <v>12</v>
      </c>
      <c r="F382" s="2">
        <v>0</v>
      </c>
      <c r="G382" s="2">
        <v>0</v>
      </c>
    </row>
    <row r="383" spans="1:7" ht="16" x14ac:dyDescent="0.2">
      <c r="A383" s="2" t="s">
        <v>298</v>
      </c>
      <c r="B383" s="2" t="s">
        <v>803</v>
      </c>
      <c r="C383" s="2" t="s">
        <v>1036</v>
      </c>
      <c r="D383" s="2" t="s">
        <v>1037</v>
      </c>
      <c r="E383" s="2">
        <v>11.25</v>
      </c>
      <c r="F383" s="2">
        <v>0</v>
      </c>
      <c r="G383" s="2">
        <v>0</v>
      </c>
    </row>
    <row r="384" spans="1:7" ht="16" x14ac:dyDescent="0.2">
      <c r="A384" s="2" t="s">
        <v>298</v>
      </c>
      <c r="B384" s="2" t="s">
        <v>803</v>
      </c>
      <c r="C384" s="2" t="s">
        <v>1037</v>
      </c>
      <c r="D384" s="2" t="s">
        <v>1038</v>
      </c>
      <c r="E384" s="2">
        <v>13</v>
      </c>
      <c r="F384" s="2">
        <v>0</v>
      </c>
      <c r="G384" s="2">
        <v>0</v>
      </c>
    </row>
    <row r="385" spans="1:7" ht="16" x14ac:dyDescent="0.2">
      <c r="A385" s="2" t="s">
        <v>298</v>
      </c>
      <c r="B385" s="2" t="s">
        <v>803</v>
      </c>
      <c r="C385" s="2" t="s">
        <v>1038</v>
      </c>
      <c r="D385" s="2" t="s">
        <v>1039</v>
      </c>
      <c r="E385" s="2">
        <v>23.25</v>
      </c>
      <c r="F385" s="2">
        <v>0</v>
      </c>
      <c r="G385" s="2">
        <v>0</v>
      </c>
    </row>
    <row r="386" spans="1:7" ht="16" x14ac:dyDescent="0.2">
      <c r="A386" s="2" t="s">
        <v>298</v>
      </c>
      <c r="B386" s="2" t="s">
        <v>803</v>
      </c>
      <c r="C386" s="2" t="s">
        <v>1039</v>
      </c>
      <c r="D386" s="2" t="s">
        <v>951</v>
      </c>
      <c r="E386" s="2">
        <v>22</v>
      </c>
      <c r="F386" s="2">
        <v>0</v>
      </c>
      <c r="G386" s="2">
        <v>0</v>
      </c>
    </row>
    <row r="387" spans="1:7" ht="16" x14ac:dyDescent="0.2">
      <c r="A387" s="2" t="s">
        <v>298</v>
      </c>
      <c r="B387" s="2" t="s">
        <v>803</v>
      </c>
      <c r="C387" s="2" t="s">
        <v>951</v>
      </c>
      <c r="D387" s="2" t="s">
        <v>1040</v>
      </c>
      <c r="E387" s="2">
        <v>26</v>
      </c>
      <c r="F387" s="2">
        <v>0</v>
      </c>
      <c r="G387" s="2">
        <v>0</v>
      </c>
    </row>
    <row r="388" spans="1:7" ht="16" x14ac:dyDescent="0.2">
      <c r="A388" s="2" t="s">
        <v>298</v>
      </c>
      <c r="B388" s="2" t="s">
        <v>803</v>
      </c>
      <c r="C388" s="2" t="s">
        <v>1040</v>
      </c>
      <c r="D388" s="2" t="s">
        <v>1041</v>
      </c>
      <c r="E388" s="2">
        <v>24</v>
      </c>
      <c r="F388" s="2">
        <v>0</v>
      </c>
      <c r="G388" s="2">
        <v>0</v>
      </c>
    </row>
    <row r="389" spans="1:7" ht="16" x14ac:dyDescent="0.2">
      <c r="A389" s="2" t="s">
        <v>298</v>
      </c>
      <c r="B389" s="2" t="s">
        <v>803</v>
      </c>
      <c r="C389" s="2" t="s">
        <v>1041</v>
      </c>
      <c r="D389" s="2" t="s">
        <v>1042</v>
      </c>
      <c r="E389" s="2">
        <v>24</v>
      </c>
      <c r="F389" s="2">
        <v>0</v>
      </c>
      <c r="G389" s="2">
        <v>0</v>
      </c>
    </row>
    <row r="390" spans="1:7" ht="16" x14ac:dyDescent="0.2">
      <c r="A390" s="2" t="s">
        <v>298</v>
      </c>
      <c r="B390" s="2" t="s">
        <v>803</v>
      </c>
      <c r="C390" s="2" t="s">
        <v>1042</v>
      </c>
      <c r="D390" s="2" t="s">
        <v>1043</v>
      </c>
      <c r="E390" s="2">
        <v>24</v>
      </c>
      <c r="F390" s="2">
        <v>0</v>
      </c>
      <c r="G390" s="2">
        <v>0</v>
      </c>
    </row>
    <row r="391" spans="1:7" ht="16" x14ac:dyDescent="0.2">
      <c r="A391" s="2" t="s">
        <v>298</v>
      </c>
      <c r="B391" s="2" t="s">
        <v>803</v>
      </c>
      <c r="C391" s="2" t="s">
        <v>1043</v>
      </c>
      <c r="D391" s="2" t="s">
        <v>1044</v>
      </c>
      <c r="E391" s="2">
        <v>24</v>
      </c>
      <c r="F391" s="2">
        <v>0</v>
      </c>
      <c r="G391" s="2">
        <v>0</v>
      </c>
    </row>
    <row r="392" spans="1:7" ht="16" x14ac:dyDescent="0.2">
      <c r="A392" s="2" t="s">
        <v>316</v>
      </c>
      <c r="B392" s="2" t="s">
        <v>886</v>
      </c>
      <c r="C392" s="2" t="s">
        <v>1045</v>
      </c>
      <c r="D392" s="2" t="s">
        <v>1046</v>
      </c>
      <c r="E392" s="2">
        <v>1</v>
      </c>
      <c r="F392" s="2">
        <v>0</v>
      </c>
      <c r="G392" s="2">
        <v>0</v>
      </c>
    </row>
    <row r="393" spans="1:7" ht="16" x14ac:dyDescent="0.2">
      <c r="A393" s="2" t="s">
        <v>316</v>
      </c>
      <c r="B393" s="2" t="s">
        <v>886</v>
      </c>
      <c r="C393" s="2" t="s">
        <v>1046</v>
      </c>
      <c r="D393" s="2" t="s">
        <v>1047</v>
      </c>
      <c r="E393" s="2">
        <v>1</v>
      </c>
      <c r="F393" s="2">
        <v>1076</v>
      </c>
      <c r="G393" s="2">
        <v>84.95</v>
      </c>
    </row>
    <row r="394" spans="1:7" ht="16" x14ac:dyDescent="0.2">
      <c r="A394" s="2" t="s">
        <v>316</v>
      </c>
      <c r="B394" s="2" t="s">
        <v>886</v>
      </c>
      <c r="C394" s="2" t="s">
        <v>1047</v>
      </c>
      <c r="D394" s="2" t="s">
        <v>1048</v>
      </c>
      <c r="E394" s="2">
        <v>1</v>
      </c>
      <c r="F394" s="2">
        <v>0</v>
      </c>
      <c r="G394" s="2">
        <v>0</v>
      </c>
    </row>
    <row r="395" spans="1:7" ht="16" x14ac:dyDescent="0.2">
      <c r="A395" s="2" t="s">
        <v>316</v>
      </c>
      <c r="B395" s="2" t="s">
        <v>886</v>
      </c>
      <c r="C395" s="2" t="s">
        <v>1048</v>
      </c>
      <c r="D395" s="2" t="s">
        <v>1049</v>
      </c>
      <c r="E395" s="2">
        <v>1</v>
      </c>
      <c r="F395" s="2">
        <v>0</v>
      </c>
      <c r="G395" s="2">
        <v>0</v>
      </c>
    </row>
    <row r="396" spans="1:7" ht="16" x14ac:dyDescent="0.2">
      <c r="A396" s="2" t="s">
        <v>316</v>
      </c>
      <c r="B396" s="2" t="s">
        <v>886</v>
      </c>
      <c r="C396" s="2" t="s">
        <v>1049</v>
      </c>
      <c r="D396" s="2" t="s">
        <v>1050</v>
      </c>
      <c r="E396" s="2">
        <v>1</v>
      </c>
      <c r="F396" s="2">
        <v>589</v>
      </c>
      <c r="G396" s="2">
        <v>31.74</v>
      </c>
    </row>
    <row r="397" spans="1:7" ht="16" x14ac:dyDescent="0.2">
      <c r="A397" s="2" t="s">
        <v>316</v>
      </c>
      <c r="B397" s="2" t="s">
        <v>886</v>
      </c>
      <c r="C397" s="2" t="s">
        <v>1050</v>
      </c>
      <c r="D397" s="2" t="s">
        <v>1051</v>
      </c>
      <c r="E397" s="2">
        <v>1</v>
      </c>
      <c r="F397" s="2">
        <v>0</v>
      </c>
      <c r="G397" s="2">
        <v>0</v>
      </c>
    </row>
    <row r="398" spans="1:7" ht="16" x14ac:dyDescent="0.2">
      <c r="A398" s="2" t="s">
        <v>316</v>
      </c>
      <c r="B398" s="2" t="s">
        <v>886</v>
      </c>
      <c r="C398" s="2" t="s">
        <v>1051</v>
      </c>
      <c r="D398" s="2" t="s">
        <v>1052</v>
      </c>
      <c r="E398" s="2">
        <v>1</v>
      </c>
      <c r="F398" s="2">
        <v>240</v>
      </c>
      <c r="G398" s="2">
        <v>11.44</v>
      </c>
    </row>
    <row r="399" spans="1:7" ht="16" x14ac:dyDescent="0.2">
      <c r="A399" s="2" t="s">
        <v>316</v>
      </c>
      <c r="B399" s="2" t="s">
        <v>886</v>
      </c>
      <c r="C399" s="2" t="s">
        <v>1052</v>
      </c>
      <c r="D399" s="2" t="s">
        <v>1053</v>
      </c>
      <c r="E399" s="2">
        <v>1</v>
      </c>
      <c r="F399" s="2">
        <v>0</v>
      </c>
      <c r="G399" s="2">
        <v>0</v>
      </c>
    </row>
    <row r="400" spans="1:7" ht="16" x14ac:dyDescent="0.2">
      <c r="A400" s="2" t="s">
        <v>316</v>
      </c>
      <c r="B400" s="2" t="s">
        <v>886</v>
      </c>
      <c r="C400" s="2" t="s">
        <v>1053</v>
      </c>
      <c r="D400" s="2" t="s">
        <v>1054</v>
      </c>
      <c r="E400" s="2">
        <v>1</v>
      </c>
      <c r="F400" s="2">
        <v>0</v>
      </c>
      <c r="G400" s="2">
        <v>0</v>
      </c>
    </row>
    <row r="401" spans="1:7" ht="16" x14ac:dyDescent="0.2">
      <c r="A401" s="2" t="s">
        <v>316</v>
      </c>
      <c r="B401" s="2" t="s">
        <v>886</v>
      </c>
      <c r="C401" s="2" t="s">
        <v>1054</v>
      </c>
      <c r="D401" s="2" t="s">
        <v>1055</v>
      </c>
      <c r="E401" s="2">
        <v>1</v>
      </c>
      <c r="F401" s="2">
        <v>0</v>
      </c>
      <c r="G401" s="2">
        <v>0</v>
      </c>
    </row>
    <row r="402" spans="1:7" ht="16" x14ac:dyDescent="0.2">
      <c r="A402" s="2" t="s">
        <v>316</v>
      </c>
      <c r="B402" s="2" t="s">
        <v>886</v>
      </c>
      <c r="C402" s="2" t="s">
        <v>1055</v>
      </c>
      <c r="D402" s="2" t="s">
        <v>1056</v>
      </c>
      <c r="E402" s="2">
        <v>1</v>
      </c>
      <c r="F402" s="2">
        <v>73</v>
      </c>
      <c r="G402" s="2">
        <v>3.35</v>
      </c>
    </row>
    <row r="403" spans="1:7" ht="16" x14ac:dyDescent="0.2">
      <c r="A403" s="2" t="s">
        <v>316</v>
      </c>
      <c r="B403" s="2" t="s">
        <v>886</v>
      </c>
      <c r="C403" s="2" t="s">
        <v>1056</v>
      </c>
      <c r="D403" s="2" t="s">
        <v>1057</v>
      </c>
      <c r="E403" s="2">
        <v>1</v>
      </c>
      <c r="F403" s="2">
        <v>0</v>
      </c>
      <c r="G403" s="2">
        <v>0</v>
      </c>
    </row>
    <row r="404" spans="1:7" ht="16" x14ac:dyDescent="0.2">
      <c r="A404" s="2" t="s">
        <v>316</v>
      </c>
      <c r="B404" s="2" t="s">
        <v>886</v>
      </c>
      <c r="C404" s="2" t="s">
        <v>1057</v>
      </c>
      <c r="D404" s="2" t="s">
        <v>1058</v>
      </c>
      <c r="E404" s="2">
        <v>1</v>
      </c>
      <c r="F404" s="2">
        <v>0</v>
      </c>
      <c r="G404" s="2">
        <v>0</v>
      </c>
    </row>
    <row r="405" spans="1:7" ht="16" x14ac:dyDescent="0.2">
      <c r="A405" s="2" t="s">
        <v>316</v>
      </c>
      <c r="B405" s="2" t="s">
        <v>886</v>
      </c>
      <c r="C405" s="2" t="s">
        <v>1058</v>
      </c>
      <c r="D405" s="2" t="s">
        <v>1059</v>
      </c>
      <c r="E405" s="2">
        <v>1</v>
      </c>
      <c r="F405" s="2">
        <v>1430</v>
      </c>
      <c r="G405" s="2">
        <v>39.76</v>
      </c>
    </row>
    <row r="406" spans="1:7" ht="16" x14ac:dyDescent="0.2">
      <c r="A406" s="2" t="s">
        <v>316</v>
      </c>
      <c r="B406" s="2" t="s">
        <v>886</v>
      </c>
      <c r="C406" s="2" t="s">
        <v>1059</v>
      </c>
      <c r="D406" s="2" t="s">
        <v>1060</v>
      </c>
      <c r="E406" s="2">
        <v>1</v>
      </c>
      <c r="F406" s="2">
        <v>124</v>
      </c>
      <c r="G406" s="2">
        <v>3.33</v>
      </c>
    </row>
    <row r="407" spans="1:7" ht="16" x14ac:dyDescent="0.2">
      <c r="A407" s="2" t="s">
        <v>316</v>
      </c>
      <c r="B407" s="2" t="s">
        <v>886</v>
      </c>
      <c r="C407" s="2" t="s">
        <v>1060</v>
      </c>
      <c r="D407" s="2" t="s">
        <v>1061</v>
      </c>
      <c r="E407" s="2">
        <v>1</v>
      </c>
      <c r="F407" s="2">
        <v>479</v>
      </c>
      <c r="G407" s="2">
        <v>11.41</v>
      </c>
    </row>
    <row r="408" spans="1:7" ht="16" x14ac:dyDescent="0.2">
      <c r="A408" s="2" t="s">
        <v>316</v>
      </c>
      <c r="B408" s="2" t="s">
        <v>886</v>
      </c>
      <c r="C408" s="2" t="s">
        <v>1061</v>
      </c>
      <c r="D408" s="2" t="s">
        <v>1062</v>
      </c>
      <c r="E408" s="2">
        <v>1</v>
      </c>
      <c r="F408" s="2">
        <v>0</v>
      </c>
      <c r="G408" s="2">
        <v>0</v>
      </c>
    </row>
    <row r="409" spans="1:7" ht="16" x14ac:dyDescent="0.2">
      <c r="A409" s="2" t="s">
        <v>316</v>
      </c>
      <c r="B409" s="2" t="s">
        <v>886</v>
      </c>
      <c r="C409" s="2" t="s">
        <v>1062</v>
      </c>
      <c r="D409" s="2" t="s">
        <v>1063</v>
      </c>
      <c r="E409" s="2">
        <v>1</v>
      </c>
      <c r="F409" s="2">
        <v>0</v>
      </c>
      <c r="G409" s="2">
        <v>0</v>
      </c>
    </row>
    <row r="410" spans="1:7" ht="16" x14ac:dyDescent="0.2">
      <c r="A410" s="2" t="s">
        <v>316</v>
      </c>
      <c r="B410" s="2" t="s">
        <v>886</v>
      </c>
      <c r="C410" s="2" t="s">
        <v>1063</v>
      </c>
      <c r="D410" s="2" t="s">
        <v>1064</v>
      </c>
      <c r="E410" s="2">
        <v>1</v>
      </c>
      <c r="F410" s="2">
        <v>461</v>
      </c>
      <c r="G410" s="2">
        <v>9.9</v>
      </c>
    </row>
    <row r="411" spans="1:7" ht="16" x14ac:dyDescent="0.2">
      <c r="A411" s="2" t="s">
        <v>316</v>
      </c>
      <c r="B411" s="2" t="s">
        <v>886</v>
      </c>
      <c r="C411" s="2" t="s">
        <v>1064</v>
      </c>
      <c r="D411" s="2" t="s">
        <v>1065</v>
      </c>
      <c r="E411" s="2">
        <v>1</v>
      </c>
      <c r="F411" s="2">
        <v>13</v>
      </c>
      <c r="G411" s="2">
        <v>0.28000000000000003</v>
      </c>
    </row>
    <row r="412" spans="1:7" ht="16" x14ac:dyDescent="0.2">
      <c r="A412" s="2" t="s">
        <v>316</v>
      </c>
      <c r="B412" s="2" t="s">
        <v>886</v>
      </c>
      <c r="C412" s="2" t="s">
        <v>1065</v>
      </c>
      <c r="D412" s="2" t="s">
        <v>1066</v>
      </c>
      <c r="E412" s="2">
        <v>1</v>
      </c>
      <c r="F412" s="2">
        <v>0</v>
      </c>
      <c r="G412" s="2">
        <v>0</v>
      </c>
    </row>
    <row r="413" spans="1:7" ht="16" x14ac:dyDescent="0.2">
      <c r="A413" s="2" t="s">
        <v>316</v>
      </c>
      <c r="B413" s="2" t="s">
        <v>886</v>
      </c>
      <c r="C413" s="2" t="s">
        <v>1066</v>
      </c>
      <c r="D413" s="2" t="s">
        <v>1067</v>
      </c>
      <c r="E413" s="2">
        <v>1</v>
      </c>
      <c r="F413" s="2">
        <v>0</v>
      </c>
      <c r="G413" s="2">
        <v>0</v>
      </c>
    </row>
    <row r="414" spans="1:7" ht="16" x14ac:dyDescent="0.2">
      <c r="A414" s="2" t="s">
        <v>316</v>
      </c>
      <c r="B414" s="2" t="s">
        <v>886</v>
      </c>
      <c r="C414" s="2" t="s">
        <v>1067</v>
      </c>
      <c r="D414" s="2" t="s">
        <v>1068</v>
      </c>
      <c r="E414" s="2">
        <v>1</v>
      </c>
      <c r="F414" s="2">
        <v>0</v>
      </c>
      <c r="G414" s="2">
        <v>0</v>
      </c>
    </row>
    <row r="415" spans="1:7" ht="16" x14ac:dyDescent="0.2">
      <c r="A415" s="2" t="s">
        <v>316</v>
      </c>
      <c r="B415" s="2" t="s">
        <v>886</v>
      </c>
      <c r="C415" s="2" t="s">
        <v>1068</v>
      </c>
      <c r="D415" s="2" t="s">
        <v>1069</v>
      </c>
      <c r="E415" s="2">
        <v>1</v>
      </c>
      <c r="F415" s="2">
        <v>0</v>
      </c>
      <c r="G415" s="2">
        <v>0</v>
      </c>
    </row>
    <row r="416" spans="1:7" ht="16" x14ac:dyDescent="0.2">
      <c r="A416" s="2" t="s">
        <v>316</v>
      </c>
      <c r="B416" s="2" t="s">
        <v>886</v>
      </c>
      <c r="C416" s="2" t="s">
        <v>1069</v>
      </c>
      <c r="D416" s="2" t="s">
        <v>1070</v>
      </c>
      <c r="E416" s="2">
        <v>1</v>
      </c>
      <c r="F416" s="2">
        <v>165</v>
      </c>
      <c r="G416" s="2">
        <v>3.4</v>
      </c>
    </row>
    <row r="417" spans="1:7" ht="16" x14ac:dyDescent="0.2">
      <c r="A417" s="2" t="s">
        <v>316</v>
      </c>
      <c r="B417" s="2" t="s">
        <v>886</v>
      </c>
      <c r="C417" s="2" t="s">
        <v>1070</v>
      </c>
      <c r="D417" s="2" t="s">
        <v>1071</v>
      </c>
      <c r="E417" s="2">
        <v>1</v>
      </c>
      <c r="F417" s="2">
        <v>0</v>
      </c>
      <c r="G417" s="2">
        <v>0</v>
      </c>
    </row>
    <row r="418" spans="1:7" ht="16" x14ac:dyDescent="0.2">
      <c r="A418" s="2" t="s">
        <v>316</v>
      </c>
      <c r="B418" s="2" t="s">
        <v>886</v>
      </c>
      <c r="C418" s="2" t="s">
        <v>1071</v>
      </c>
      <c r="D418" s="2" t="s">
        <v>1072</v>
      </c>
      <c r="E418" s="2">
        <v>1</v>
      </c>
      <c r="F418" s="2">
        <v>3249</v>
      </c>
      <c r="G418" s="2">
        <v>40.159999999999997</v>
      </c>
    </row>
    <row r="419" spans="1:7" ht="16" x14ac:dyDescent="0.2">
      <c r="A419" s="2" t="s">
        <v>316</v>
      </c>
      <c r="B419" s="2" t="s">
        <v>886</v>
      </c>
      <c r="C419" s="2" t="s">
        <v>1072</v>
      </c>
      <c r="D419" s="2" t="s">
        <v>1073</v>
      </c>
      <c r="E419" s="2">
        <v>1</v>
      </c>
      <c r="F419" s="2">
        <v>820</v>
      </c>
      <c r="G419" s="2">
        <v>9.1999999999999993</v>
      </c>
    </row>
    <row r="420" spans="1:7" ht="16" x14ac:dyDescent="0.2">
      <c r="A420" s="2" t="s">
        <v>316</v>
      </c>
      <c r="B420" s="2" t="s">
        <v>886</v>
      </c>
      <c r="C420" s="2" t="s">
        <v>1073</v>
      </c>
      <c r="D420" s="2" t="s">
        <v>1074</v>
      </c>
      <c r="E420" s="2">
        <v>1</v>
      </c>
      <c r="F420" s="2">
        <v>3262</v>
      </c>
      <c r="G420" s="2">
        <v>26.81</v>
      </c>
    </row>
    <row r="421" spans="1:7" ht="16" x14ac:dyDescent="0.2">
      <c r="A421" s="2" t="s">
        <v>316</v>
      </c>
      <c r="B421" s="2" t="s">
        <v>886</v>
      </c>
      <c r="C421" s="2" t="s">
        <v>1074</v>
      </c>
      <c r="D421" s="2" t="s">
        <v>1075</v>
      </c>
      <c r="E421" s="2">
        <v>1</v>
      </c>
      <c r="F421" s="2">
        <v>10723</v>
      </c>
      <c r="G421" s="2">
        <v>46.84</v>
      </c>
    </row>
    <row r="422" spans="1:7" ht="16" x14ac:dyDescent="0.2">
      <c r="A422" s="2" t="s">
        <v>316</v>
      </c>
      <c r="B422" s="2" t="s">
        <v>886</v>
      </c>
      <c r="C422" s="2" t="s">
        <v>1075</v>
      </c>
      <c r="D422" s="2" t="s">
        <v>1076</v>
      </c>
      <c r="E422" s="2">
        <v>1</v>
      </c>
      <c r="F422" s="2">
        <v>3876</v>
      </c>
      <c r="G422" s="2">
        <v>14.48</v>
      </c>
    </row>
    <row r="423" spans="1:7" ht="16" x14ac:dyDescent="0.2">
      <c r="A423" s="2" t="s">
        <v>316</v>
      </c>
      <c r="B423" s="2" t="s">
        <v>886</v>
      </c>
      <c r="C423" s="2" t="s">
        <v>1076</v>
      </c>
      <c r="D423" s="2" t="s">
        <v>1077</v>
      </c>
      <c r="E423" s="2">
        <v>1</v>
      </c>
      <c r="F423" s="2">
        <v>3478</v>
      </c>
      <c r="G423" s="2">
        <v>11.5</v>
      </c>
    </row>
    <row r="424" spans="1:7" ht="16" x14ac:dyDescent="0.2">
      <c r="A424" s="2" t="s">
        <v>316</v>
      </c>
      <c r="B424" s="2" t="s">
        <v>886</v>
      </c>
      <c r="C424" s="2" t="s">
        <v>1077</v>
      </c>
      <c r="D424" s="2" t="s">
        <v>1078</v>
      </c>
      <c r="E424" s="2">
        <v>1</v>
      </c>
      <c r="F424" s="2">
        <v>1602</v>
      </c>
      <c r="G424" s="2">
        <v>5.03</v>
      </c>
    </row>
    <row r="425" spans="1:7" ht="16" x14ac:dyDescent="0.2">
      <c r="A425" s="2" t="s">
        <v>316</v>
      </c>
      <c r="B425" s="2" t="s">
        <v>886</v>
      </c>
      <c r="C425" s="2" t="s">
        <v>1078</v>
      </c>
      <c r="D425" s="2" t="s">
        <v>1079</v>
      </c>
      <c r="E425" s="2">
        <v>1</v>
      </c>
      <c r="F425" s="2">
        <v>1902</v>
      </c>
      <c r="G425" s="2">
        <v>5.64</v>
      </c>
    </row>
    <row r="426" spans="1:7" ht="16" x14ac:dyDescent="0.2">
      <c r="A426" s="2" t="s">
        <v>316</v>
      </c>
      <c r="B426" s="2" t="s">
        <v>886</v>
      </c>
      <c r="C426" s="2" t="s">
        <v>1079</v>
      </c>
      <c r="D426" s="2" t="s">
        <v>1080</v>
      </c>
      <c r="E426" s="2">
        <v>1</v>
      </c>
      <c r="F426" s="2">
        <v>707</v>
      </c>
      <c r="G426" s="2">
        <v>2.0499999999999998</v>
      </c>
    </row>
    <row r="427" spans="1:7" ht="16" x14ac:dyDescent="0.2">
      <c r="A427" s="2" t="s">
        <v>316</v>
      </c>
      <c r="B427" s="2" t="s">
        <v>886</v>
      </c>
      <c r="C427" s="2" t="s">
        <v>1080</v>
      </c>
      <c r="D427" s="2" t="s">
        <v>1081</v>
      </c>
      <c r="E427" s="2">
        <v>1</v>
      </c>
      <c r="F427" s="2">
        <v>11068</v>
      </c>
      <c r="G427" s="2">
        <v>24.31</v>
      </c>
    </row>
    <row r="428" spans="1:7" ht="16" x14ac:dyDescent="0.2">
      <c r="A428" s="2" t="s">
        <v>316</v>
      </c>
      <c r="B428" s="2" t="s">
        <v>886</v>
      </c>
      <c r="C428" s="2" t="s">
        <v>1081</v>
      </c>
      <c r="D428" s="2" t="s">
        <v>1082</v>
      </c>
      <c r="E428" s="2">
        <v>1</v>
      </c>
      <c r="F428" s="2">
        <v>655</v>
      </c>
      <c r="G428" s="2">
        <v>1.42</v>
      </c>
    </row>
    <row r="429" spans="1:7" ht="16" x14ac:dyDescent="0.2">
      <c r="A429" s="2" t="s">
        <v>316</v>
      </c>
      <c r="B429" s="2" t="s">
        <v>886</v>
      </c>
      <c r="C429" s="2" t="s">
        <v>1082</v>
      </c>
      <c r="D429" s="2" t="s">
        <v>1083</v>
      </c>
      <c r="E429" s="2">
        <v>1</v>
      </c>
      <c r="F429" s="2">
        <v>2137</v>
      </c>
      <c r="G429" s="2">
        <v>4.42</v>
      </c>
    </row>
    <row r="430" spans="1:7" ht="16" x14ac:dyDescent="0.2">
      <c r="A430" s="2" t="s">
        <v>316</v>
      </c>
      <c r="B430" s="2" t="s">
        <v>886</v>
      </c>
      <c r="C430" s="2" t="s">
        <v>1083</v>
      </c>
      <c r="D430" s="2" t="s">
        <v>1084</v>
      </c>
      <c r="E430" s="2">
        <v>1</v>
      </c>
      <c r="F430" s="2">
        <v>15293</v>
      </c>
      <c r="G430" s="2">
        <v>24.04</v>
      </c>
    </row>
    <row r="431" spans="1:7" ht="16" x14ac:dyDescent="0.2">
      <c r="A431" s="2" t="s">
        <v>316</v>
      </c>
      <c r="B431" s="2" t="s">
        <v>886</v>
      </c>
      <c r="C431" s="2" t="s">
        <v>1084</v>
      </c>
      <c r="D431" s="2" t="s">
        <v>1085</v>
      </c>
      <c r="E431" s="2">
        <v>1</v>
      </c>
      <c r="F431" s="2">
        <v>8836</v>
      </c>
      <c r="G431" s="2">
        <v>12.2</v>
      </c>
    </row>
    <row r="432" spans="1:7" ht="16" x14ac:dyDescent="0.2">
      <c r="A432" s="2" t="s">
        <v>316</v>
      </c>
      <c r="B432" s="2" t="s">
        <v>886</v>
      </c>
      <c r="C432" s="2" t="s">
        <v>1085</v>
      </c>
      <c r="D432" s="2" t="s">
        <v>1086</v>
      </c>
      <c r="E432" s="2">
        <v>1</v>
      </c>
      <c r="F432" s="2">
        <v>21226</v>
      </c>
      <c r="G432" s="2">
        <v>22.66</v>
      </c>
    </row>
    <row r="433" spans="1:7" ht="16" x14ac:dyDescent="0.2">
      <c r="A433" s="2" t="s">
        <v>316</v>
      </c>
      <c r="B433" s="2" t="s">
        <v>886</v>
      </c>
      <c r="C433" s="2" t="s">
        <v>1086</v>
      </c>
      <c r="D433" s="2" t="s">
        <v>1087</v>
      </c>
      <c r="E433" s="2">
        <v>1</v>
      </c>
      <c r="F433" s="2">
        <v>21068</v>
      </c>
      <c r="G433" s="2">
        <v>18.36</v>
      </c>
    </row>
    <row r="434" spans="1:7" ht="16" x14ac:dyDescent="0.2">
      <c r="A434" s="2" t="s">
        <v>316</v>
      </c>
      <c r="B434" s="2" t="s">
        <v>886</v>
      </c>
      <c r="C434" s="2" t="s">
        <v>1087</v>
      </c>
      <c r="D434" s="2" t="s">
        <v>1088</v>
      </c>
      <c r="E434" s="2">
        <v>1</v>
      </c>
      <c r="F434" s="2">
        <v>9179</v>
      </c>
      <c r="G434" s="2">
        <v>7.41</v>
      </c>
    </row>
    <row r="435" spans="1:7" ht="16" x14ac:dyDescent="0.2">
      <c r="A435" s="2" t="s">
        <v>316</v>
      </c>
      <c r="B435" s="2" t="s">
        <v>886</v>
      </c>
      <c r="C435" s="2" t="s">
        <v>1088</v>
      </c>
      <c r="D435" s="2" t="s">
        <v>1089</v>
      </c>
      <c r="E435" s="2">
        <v>1</v>
      </c>
      <c r="F435" s="2">
        <v>1353</v>
      </c>
      <c r="G435" s="2">
        <v>1.08</v>
      </c>
    </row>
    <row r="436" spans="1:7" ht="16" x14ac:dyDescent="0.2">
      <c r="A436" s="2" t="s">
        <v>316</v>
      </c>
      <c r="B436" s="2" t="s">
        <v>886</v>
      </c>
      <c r="C436" s="2" t="s">
        <v>1089</v>
      </c>
      <c r="D436" s="2" t="s">
        <v>1090</v>
      </c>
      <c r="E436" s="2">
        <v>1</v>
      </c>
      <c r="F436" s="2">
        <v>6092</v>
      </c>
      <c r="G436" s="2">
        <v>4.6399999999999997</v>
      </c>
    </row>
    <row r="437" spans="1:7" ht="16" x14ac:dyDescent="0.2">
      <c r="A437" s="2" t="s">
        <v>316</v>
      </c>
      <c r="B437" s="2" t="s">
        <v>886</v>
      </c>
      <c r="C437" s="2" t="s">
        <v>1090</v>
      </c>
      <c r="D437" s="2" t="s">
        <v>1091</v>
      </c>
      <c r="E437" s="2">
        <v>1</v>
      </c>
      <c r="F437" s="2">
        <v>1959</v>
      </c>
      <c r="G437" s="2">
        <v>1.47</v>
      </c>
    </row>
    <row r="438" spans="1:7" ht="16" x14ac:dyDescent="0.2">
      <c r="A438" s="2" t="s">
        <v>316</v>
      </c>
      <c r="B438" s="2" t="s">
        <v>886</v>
      </c>
      <c r="C438" s="2" t="s">
        <v>1091</v>
      </c>
      <c r="D438" s="2" t="s">
        <v>1092</v>
      </c>
      <c r="E438" s="2">
        <v>1</v>
      </c>
      <c r="F438" s="2">
        <v>1757</v>
      </c>
      <c r="G438" s="2">
        <v>1.3</v>
      </c>
    </row>
    <row r="439" spans="1:7" ht="16" x14ac:dyDescent="0.2">
      <c r="A439" s="2" t="s">
        <v>316</v>
      </c>
      <c r="B439" s="2" t="s">
        <v>886</v>
      </c>
      <c r="C439" s="2" t="s">
        <v>1092</v>
      </c>
      <c r="D439" s="2" t="s">
        <v>1093</v>
      </c>
      <c r="E439" s="2">
        <v>1</v>
      </c>
      <c r="F439" s="2">
        <v>1533</v>
      </c>
      <c r="G439" s="2">
        <v>1.1200000000000001</v>
      </c>
    </row>
    <row r="440" spans="1:7" ht="16" x14ac:dyDescent="0.2">
      <c r="A440" s="2" t="s">
        <v>316</v>
      </c>
      <c r="B440" s="2" t="s">
        <v>886</v>
      </c>
      <c r="C440" s="2" t="s">
        <v>1093</v>
      </c>
      <c r="D440" s="2" t="s">
        <v>1094</v>
      </c>
      <c r="E440" s="2">
        <v>1</v>
      </c>
      <c r="F440" s="2">
        <v>27991</v>
      </c>
      <c r="G440" s="2">
        <v>17.010000000000002</v>
      </c>
    </row>
    <row r="441" spans="1:7" ht="16" x14ac:dyDescent="0.2">
      <c r="A441" s="2" t="s">
        <v>316</v>
      </c>
      <c r="B441" s="2" t="s">
        <v>886</v>
      </c>
      <c r="C441" s="2" t="s">
        <v>1094</v>
      </c>
      <c r="D441" s="2" t="s">
        <v>1095</v>
      </c>
      <c r="E441" s="2">
        <v>1</v>
      </c>
      <c r="F441" s="2">
        <v>8326</v>
      </c>
      <c r="G441" s="2">
        <v>4.8099999999999996</v>
      </c>
    </row>
    <row r="442" spans="1:7" ht="16" x14ac:dyDescent="0.2">
      <c r="A442" s="2" t="s">
        <v>316</v>
      </c>
      <c r="B442" s="2" t="s">
        <v>886</v>
      </c>
      <c r="C442" s="2" t="s">
        <v>1095</v>
      </c>
      <c r="D442" s="2" t="s">
        <v>1096</v>
      </c>
      <c r="E442" s="2">
        <v>1</v>
      </c>
      <c r="F442" s="2">
        <v>9644</v>
      </c>
      <c r="G442" s="2">
        <v>5.28</v>
      </c>
    </row>
    <row r="443" spans="1:7" ht="16" x14ac:dyDescent="0.2">
      <c r="A443" s="2" t="s">
        <v>316</v>
      </c>
      <c r="B443" s="2" t="s">
        <v>886</v>
      </c>
      <c r="C443" s="2" t="s">
        <v>1096</v>
      </c>
      <c r="D443" s="2" t="s">
        <v>1097</v>
      </c>
      <c r="E443" s="2">
        <v>1</v>
      </c>
      <c r="F443" s="2">
        <v>11384</v>
      </c>
      <c r="G443" s="2">
        <v>5.87</v>
      </c>
    </row>
    <row r="444" spans="1:7" ht="16" x14ac:dyDescent="0.2">
      <c r="A444" s="2" t="s">
        <v>316</v>
      </c>
      <c r="B444" s="2" t="s">
        <v>886</v>
      </c>
      <c r="C444" s="2" t="s">
        <v>1097</v>
      </c>
      <c r="D444" s="2" t="s">
        <v>1098</v>
      </c>
      <c r="E444" s="2">
        <v>1</v>
      </c>
      <c r="F444" s="2">
        <v>21170</v>
      </c>
      <c r="G444" s="2">
        <v>9.84</v>
      </c>
    </row>
    <row r="445" spans="1:7" ht="16" x14ac:dyDescent="0.2">
      <c r="A445" s="2" t="s">
        <v>316</v>
      </c>
      <c r="B445" s="2" t="s">
        <v>886</v>
      </c>
      <c r="C445" s="2" t="s">
        <v>1098</v>
      </c>
      <c r="D445" s="2" t="s">
        <v>1099</v>
      </c>
      <c r="E445" s="2">
        <v>1</v>
      </c>
      <c r="F445" s="2">
        <v>9322</v>
      </c>
      <c r="G445" s="2">
        <v>4.1500000000000004</v>
      </c>
    </row>
    <row r="446" spans="1:7" ht="16" x14ac:dyDescent="0.2">
      <c r="A446" s="2" t="s">
        <v>316</v>
      </c>
      <c r="B446" s="2" t="s">
        <v>886</v>
      </c>
      <c r="C446" s="2" t="s">
        <v>1099</v>
      </c>
      <c r="D446" s="2" t="s">
        <v>1100</v>
      </c>
      <c r="E446" s="2">
        <v>1</v>
      </c>
      <c r="F446" s="2">
        <v>7265</v>
      </c>
      <c r="G446" s="2">
        <v>3.14</v>
      </c>
    </row>
    <row r="447" spans="1:7" ht="16" x14ac:dyDescent="0.2">
      <c r="A447" s="2" t="s">
        <v>316</v>
      </c>
      <c r="B447" s="2" t="s">
        <v>886</v>
      </c>
      <c r="C447" s="2" t="s">
        <v>1100</v>
      </c>
      <c r="D447" s="2" t="s">
        <v>1101</v>
      </c>
      <c r="E447" s="2">
        <v>1</v>
      </c>
      <c r="F447" s="2">
        <v>16275</v>
      </c>
      <c r="G447" s="2">
        <v>6.56</v>
      </c>
    </row>
    <row r="448" spans="1:7" ht="16" x14ac:dyDescent="0.2">
      <c r="A448" s="2" t="s">
        <v>316</v>
      </c>
      <c r="B448" s="2" t="s">
        <v>886</v>
      </c>
      <c r="C448" s="2" t="s">
        <v>1101</v>
      </c>
      <c r="D448" s="2" t="s">
        <v>1102</v>
      </c>
      <c r="E448" s="2">
        <v>1</v>
      </c>
      <c r="F448" s="2">
        <v>2759</v>
      </c>
      <c r="G448" s="2">
        <v>1.1000000000000001</v>
      </c>
    </row>
    <row r="449" spans="1:7" ht="16" x14ac:dyDescent="0.2">
      <c r="A449" s="2" t="s">
        <v>316</v>
      </c>
      <c r="B449" s="2" t="s">
        <v>886</v>
      </c>
      <c r="C449" s="2" t="s">
        <v>1102</v>
      </c>
      <c r="D449" s="2" t="s">
        <v>1103</v>
      </c>
      <c r="E449" s="2">
        <v>1</v>
      </c>
      <c r="F449" s="2">
        <v>1409</v>
      </c>
      <c r="G449" s="2">
        <v>0.56000000000000005</v>
      </c>
    </row>
    <row r="450" spans="1:7" ht="16" x14ac:dyDescent="0.2">
      <c r="A450" s="2" t="s">
        <v>316</v>
      </c>
      <c r="B450" s="2" t="s">
        <v>886</v>
      </c>
      <c r="C450" s="2" t="s">
        <v>1103</v>
      </c>
      <c r="D450" s="2" t="s">
        <v>1104</v>
      </c>
      <c r="E450" s="2">
        <v>1</v>
      </c>
      <c r="F450" s="2">
        <v>10621</v>
      </c>
      <c r="G450" s="2">
        <v>4.04</v>
      </c>
    </row>
    <row r="451" spans="1:7" ht="16" x14ac:dyDescent="0.2">
      <c r="A451" s="2" t="s">
        <v>316</v>
      </c>
      <c r="B451" s="2" t="s">
        <v>886</v>
      </c>
      <c r="C451" s="2" t="s">
        <v>1104</v>
      </c>
      <c r="D451" s="2" t="s">
        <v>1105</v>
      </c>
      <c r="E451" s="2">
        <v>1</v>
      </c>
      <c r="F451" s="2">
        <v>3560</v>
      </c>
      <c r="G451" s="2">
        <v>1.34</v>
      </c>
    </row>
    <row r="452" spans="1:7" ht="16" x14ac:dyDescent="0.2">
      <c r="A452" s="2" t="s">
        <v>316</v>
      </c>
      <c r="B452" s="2" t="s">
        <v>886</v>
      </c>
      <c r="C452" s="2" t="s">
        <v>1105</v>
      </c>
      <c r="D452" s="2" t="s">
        <v>1106</v>
      </c>
      <c r="E452" s="2">
        <v>1</v>
      </c>
      <c r="F452" s="2">
        <v>3685</v>
      </c>
      <c r="G452" s="2">
        <v>1.36</v>
      </c>
    </row>
    <row r="453" spans="1:7" ht="16" x14ac:dyDescent="0.2">
      <c r="A453" s="2" t="s">
        <v>316</v>
      </c>
      <c r="B453" s="2" t="s">
        <v>886</v>
      </c>
      <c r="C453" s="2" t="s">
        <v>1106</v>
      </c>
      <c r="D453" s="2" t="s">
        <v>1107</v>
      </c>
      <c r="E453" s="2">
        <v>1</v>
      </c>
      <c r="F453" s="2">
        <v>2438</v>
      </c>
      <c r="G453" s="2">
        <v>0.89</v>
      </c>
    </row>
    <row r="454" spans="1:7" ht="16" x14ac:dyDescent="0.2">
      <c r="A454" s="2" t="s">
        <v>316</v>
      </c>
      <c r="B454" s="2" t="s">
        <v>886</v>
      </c>
      <c r="C454" s="2" t="s">
        <v>1107</v>
      </c>
      <c r="D454" s="2" t="s">
        <v>1108</v>
      </c>
      <c r="E454" s="2">
        <v>1</v>
      </c>
      <c r="F454" s="2">
        <v>2953</v>
      </c>
      <c r="G454" s="2">
        <v>1.07</v>
      </c>
    </row>
    <row r="455" spans="1:7" ht="16" x14ac:dyDescent="0.2">
      <c r="A455" s="2" t="s">
        <v>316</v>
      </c>
      <c r="B455" s="2" t="s">
        <v>886</v>
      </c>
      <c r="C455" s="2" t="s">
        <v>1108</v>
      </c>
      <c r="D455" s="2" t="s">
        <v>1109</v>
      </c>
      <c r="E455" s="2">
        <v>1</v>
      </c>
      <c r="F455" s="2">
        <v>1052</v>
      </c>
      <c r="G455" s="2">
        <v>0.38</v>
      </c>
    </row>
    <row r="456" spans="1:7" ht="16" x14ac:dyDescent="0.2">
      <c r="A456" s="2" t="s">
        <v>316</v>
      </c>
      <c r="B456" s="2" t="s">
        <v>886</v>
      </c>
      <c r="C456" s="2" t="s">
        <v>1109</v>
      </c>
      <c r="D456" s="2" t="s">
        <v>1110</v>
      </c>
      <c r="E456" s="2">
        <v>1</v>
      </c>
      <c r="F456" s="2">
        <v>2413</v>
      </c>
      <c r="G456" s="2">
        <v>0.87</v>
      </c>
    </row>
    <row r="457" spans="1:7" ht="16" x14ac:dyDescent="0.2">
      <c r="A457" s="2" t="s">
        <v>316</v>
      </c>
      <c r="B457" s="2" t="s">
        <v>886</v>
      </c>
      <c r="C457" s="2" t="s">
        <v>1110</v>
      </c>
      <c r="D457" s="2" t="s">
        <v>1111</v>
      </c>
      <c r="E457" s="2">
        <v>1</v>
      </c>
      <c r="F457" s="2">
        <v>32</v>
      </c>
      <c r="G457" s="2">
        <v>0.01</v>
      </c>
    </row>
    <row r="458" spans="1:7" ht="16" x14ac:dyDescent="0.2">
      <c r="A458" s="2" t="s">
        <v>316</v>
      </c>
      <c r="B458" s="2" t="s">
        <v>886</v>
      </c>
      <c r="C458" s="2" t="s">
        <v>1111</v>
      </c>
      <c r="D458" s="2" t="s">
        <v>1112</v>
      </c>
      <c r="E458" s="2">
        <v>1</v>
      </c>
      <c r="F458" s="2">
        <v>4868</v>
      </c>
      <c r="G458" s="2">
        <v>1.72</v>
      </c>
    </row>
    <row r="459" spans="1:7" ht="16" x14ac:dyDescent="0.2">
      <c r="A459" s="2" t="s">
        <v>316</v>
      </c>
      <c r="B459" s="2" t="s">
        <v>886</v>
      </c>
      <c r="C459" s="2" t="s">
        <v>1112</v>
      </c>
      <c r="D459" s="2" t="s">
        <v>1113</v>
      </c>
      <c r="E459" s="2">
        <v>1</v>
      </c>
      <c r="F459" s="2">
        <v>9761</v>
      </c>
      <c r="G459" s="2">
        <v>3.33</v>
      </c>
    </row>
    <row r="460" spans="1:7" ht="16" x14ac:dyDescent="0.2">
      <c r="A460" s="2" t="s">
        <v>316</v>
      </c>
      <c r="B460" s="2" t="s">
        <v>886</v>
      </c>
      <c r="C460" s="2" t="s">
        <v>1113</v>
      </c>
      <c r="D460" s="2" t="s">
        <v>1114</v>
      </c>
      <c r="E460" s="2">
        <v>1</v>
      </c>
      <c r="F460" s="2">
        <v>22</v>
      </c>
      <c r="G460" s="2">
        <v>0.01</v>
      </c>
    </row>
    <row r="461" spans="1:7" ht="16" x14ac:dyDescent="0.2">
      <c r="A461" s="2" t="s">
        <v>316</v>
      </c>
      <c r="B461" s="2" t="s">
        <v>886</v>
      </c>
      <c r="C461" s="2" t="s">
        <v>1114</v>
      </c>
      <c r="D461" s="2" t="s">
        <v>1115</v>
      </c>
      <c r="E461" s="2">
        <v>1</v>
      </c>
      <c r="F461" s="2">
        <v>2331</v>
      </c>
      <c r="G461" s="2">
        <v>0.79</v>
      </c>
    </row>
    <row r="462" spans="1:7" ht="16" x14ac:dyDescent="0.2">
      <c r="A462" s="2" t="s">
        <v>316</v>
      </c>
      <c r="B462" s="2" t="s">
        <v>886</v>
      </c>
      <c r="C462" s="2" t="s">
        <v>1115</v>
      </c>
      <c r="D462" s="2" t="s">
        <v>1116</v>
      </c>
      <c r="E462" s="2">
        <v>1</v>
      </c>
      <c r="F462" s="2">
        <v>350</v>
      </c>
      <c r="G462" s="2">
        <v>0.12</v>
      </c>
    </row>
    <row r="463" spans="1:7" ht="16" x14ac:dyDescent="0.2">
      <c r="A463" s="2" t="s">
        <v>316</v>
      </c>
      <c r="B463" s="2" t="s">
        <v>886</v>
      </c>
      <c r="C463" s="2" t="s">
        <v>1116</v>
      </c>
      <c r="D463" s="2" t="s">
        <v>1117</v>
      </c>
      <c r="E463" s="2">
        <v>1</v>
      </c>
      <c r="F463" s="2">
        <v>1919</v>
      </c>
      <c r="G463" s="2">
        <v>0.64</v>
      </c>
    </row>
    <row r="464" spans="1:7" ht="16" x14ac:dyDescent="0.2">
      <c r="A464" s="2" t="s">
        <v>316</v>
      </c>
      <c r="B464" s="2" t="s">
        <v>886</v>
      </c>
      <c r="C464" s="2" t="s">
        <v>1117</v>
      </c>
      <c r="D464" s="2" t="s">
        <v>1118</v>
      </c>
      <c r="E464" s="2">
        <v>1</v>
      </c>
      <c r="F464" s="2">
        <v>9</v>
      </c>
      <c r="G464" s="2">
        <v>0</v>
      </c>
    </row>
    <row r="465" spans="1:7" ht="16" x14ac:dyDescent="0.2">
      <c r="A465" s="2" t="s">
        <v>316</v>
      </c>
      <c r="B465" s="2" t="s">
        <v>886</v>
      </c>
      <c r="C465" s="2" t="s">
        <v>1118</v>
      </c>
      <c r="D465" s="2" t="s">
        <v>1119</v>
      </c>
      <c r="E465" s="2">
        <v>1</v>
      </c>
      <c r="F465" s="2">
        <v>0</v>
      </c>
      <c r="G465" s="2">
        <v>0</v>
      </c>
    </row>
    <row r="466" spans="1:7" ht="16" x14ac:dyDescent="0.2">
      <c r="A466" s="2" t="s">
        <v>316</v>
      </c>
      <c r="B466" s="2" t="s">
        <v>886</v>
      </c>
      <c r="C466" s="2" t="s">
        <v>1119</v>
      </c>
      <c r="D466" s="2" t="s">
        <v>1120</v>
      </c>
      <c r="E466" s="2">
        <v>1</v>
      </c>
      <c r="F466" s="2">
        <v>3111</v>
      </c>
      <c r="G466" s="2">
        <v>1.03</v>
      </c>
    </row>
    <row r="467" spans="1:7" ht="16" x14ac:dyDescent="0.2">
      <c r="A467" s="2" t="s">
        <v>316</v>
      </c>
      <c r="B467" s="2" t="s">
        <v>886</v>
      </c>
      <c r="C467" s="2" t="s">
        <v>1120</v>
      </c>
      <c r="D467" s="2" t="s">
        <v>1121</v>
      </c>
      <c r="E467" s="2">
        <v>1</v>
      </c>
      <c r="F467" s="2">
        <v>3013</v>
      </c>
      <c r="G467" s="2">
        <v>0.99</v>
      </c>
    </row>
    <row r="468" spans="1:7" ht="16" x14ac:dyDescent="0.2">
      <c r="A468" s="2" t="s">
        <v>316</v>
      </c>
      <c r="B468" s="2" t="s">
        <v>886</v>
      </c>
      <c r="C468" s="2" t="s">
        <v>1121</v>
      </c>
      <c r="D468" s="2" t="s">
        <v>1122</v>
      </c>
      <c r="E468" s="2">
        <v>1</v>
      </c>
      <c r="F468" s="2">
        <v>1601</v>
      </c>
      <c r="G468" s="2">
        <v>0.52</v>
      </c>
    </row>
    <row r="469" spans="1:7" ht="16" x14ac:dyDescent="0.2">
      <c r="A469" s="2" t="s">
        <v>316</v>
      </c>
      <c r="B469" s="2" t="s">
        <v>886</v>
      </c>
      <c r="C469" s="2" t="s">
        <v>1122</v>
      </c>
      <c r="D469" s="2" t="s">
        <v>1123</v>
      </c>
      <c r="E469" s="2">
        <v>1</v>
      </c>
      <c r="F469" s="2">
        <v>5415</v>
      </c>
      <c r="G469" s="2">
        <v>1.74</v>
      </c>
    </row>
    <row r="470" spans="1:7" ht="16" x14ac:dyDescent="0.2">
      <c r="A470" s="2" t="s">
        <v>316</v>
      </c>
      <c r="B470" s="2" t="s">
        <v>886</v>
      </c>
      <c r="C470" s="2" t="s">
        <v>1123</v>
      </c>
      <c r="D470" s="2" t="s">
        <v>1124</v>
      </c>
      <c r="E470" s="2">
        <v>1</v>
      </c>
      <c r="F470" s="2">
        <v>7176</v>
      </c>
      <c r="G470" s="2">
        <v>2.25</v>
      </c>
    </row>
    <row r="471" spans="1:7" ht="16" x14ac:dyDescent="0.2">
      <c r="A471" s="2" t="s">
        <v>316</v>
      </c>
      <c r="B471" s="2" t="s">
        <v>886</v>
      </c>
      <c r="C471" s="2" t="s">
        <v>1124</v>
      </c>
      <c r="D471" s="2" t="s">
        <v>1125</v>
      </c>
      <c r="E471" s="2">
        <v>1</v>
      </c>
      <c r="F471" s="2">
        <v>567</v>
      </c>
      <c r="G471" s="2">
        <v>0.18</v>
      </c>
    </row>
    <row r="472" spans="1:7" ht="16" x14ac:dyDescent="0.2">
      <c r="A472" s="2" t="s">
        <v>316</v>
      </c>
      <c r="B472" s="2" t="s">
        <v>886</v>
      </c>
      <c r="C472" s="2" t="s">
        <v>1125</v>
      </c>
      <c r="D472" s="2" t="s">
        <v>1126</v>
      </c>
      <c r="E472" s="2">
        <v>1</v>
      </c>
      <c r="F472" s="2">
        <v>2026</v>
      </c>
      <c r="G472" s="2">
        <v>0.63</v>
      </c>
    </row>
    <row r="473" spans="1:7" ht="16" x14ac:dyDescent="0.2">
      <c r="A473" s="2" t="s">
        <v>316</v>
      </c>
      <c r="B473" s="2" t="s">
        <v>886</v>
      </c>
      <c r="C473" s="2" t="s">
        <v>1126</v>
      </c>
      <c r="D473" s="2" t="s">
        <v>1127</v>
      </c>
      <c r="E473" s="2">
        <v>1</v>
      </c>
      <c r="F473" s="2">
        <v>817</v>
      </c>
      <c r="G473" s="2">
        <v>0.25</v>
      </c>
    </row>
    <row r="474" spans="1:7" ht="16" x14ac:dyDescent="0.2">
      <c r="A474" s="2" t="s">
        <v>316</v>
      </c>
      <c r="B474" s="2" t="s">
        <v>886</v>
      </c>
      <c r="C474" s="2" t="s">
        <v>1127</v>
      </c>
      <c r="D474" s="2" t="s">
        <v>1128</v>
      </c>
      <c r="E474" s="2">
        <v>1</v>
      </c>
      <c r="F474" s="2">
        <v>853</v>
      </c>
      <c r="G474" s="2">
        <v>0.26</v>
      </c>
    </row>
    <row r="475" spans="1:7" ht="16" x14ac:dyDescent="0.2">
      <c r="A475" s="2" t="s">
        <v>316</v>
      </c>
      <c r="B475" s="2" t="s">
        <v>886</v>
      </c>
      <c r="C475" s="2" t="s">
        <v>1128</v>
      </c>
      <c r="D475" s="2" t="s">
        <v>1129</v>
      </c>
      <c r="E475" s="2">
        <v>1</v>
      </c>
      <c r="F475" s="2">
        <v>0</v>
      </c>
      <c r="G475" s="2">
        <v>0</v>
      </c>
    </row>
    <row r="476" spans="1:7" ht="16" x14ac:dyDescent="0.2">
      <c r="A476" s="2" t="s">
        <v>316</v>
      </c>
      <c r="B476" s="2" t="s">
        <v>886</v>
      </c>
      <c r="C476" s="2" t="s">
        <v>1129</v>
      </c>
      <c r="D476" s="2" t="s">
        <v>1130</v>
      </c>
      <c r="E476" s="2">
        <v>1</v>
      </c>
      <c r="F476" s="2">
        <v>0</v>
      </c>
      <c r="G476" s="2">
        <v>0</v>
      </c>
    </row>
    <row r="477" spans="1:7" ht="16" x14ac:dyDescent="0.2">
      <c r="A477" s="2" t="s">
        <v>316</v>
      </c>
      <c r="B477" s="2" t="s">
        <v>886</v>
      </c>
      <c r="C477" s="2" t="s">
        <v>1130</v>
      </c>
      <c r="D477" s="2" t="s">
        <v>1131</v>
      </c>
      <c r="E477" s="2">
        <v>1</v>
      </c>
      <c r="F477" s="2">
        <v>37</v>
      </c>
      <c r="G477" s="2">
        <v>0.01</v>
      </c>
    </row>
    <row r="478" spans="1:7" ht="16" x14ac:dyDescent="0.2">
      <c r="A478" s="2" t="s">
        <v>316</v>
      </c>
      <c r="B478" s="2" t="s">
        <v>886</v>
      </c>
      <c r="C478" s="2" t="s">
        <v>1131</v>
      </c>
      <c r="D478" s="2" t="s">
        <v>1132</v>
      </c>
      <c r="E478" s="2">
        <v>1</v>
      </c>
      <c r="F478" s="2">
        <v>1330</v>
      </c>
      <c r="G478" s="2">
        <v>0.41</v>
      </c>
    </row>
    <row r="479" spans="1:7" ht="16" x14ac:dyDescent="0.2">
      <c r="A479" s="2" t="s">
        <v>316</v>
      </c>
      <c r="B479" s="2" t="s">
        <v>886</v>
      </c>
      <c r="C479" s="2" t="s">
        <v>1132</v>
      </c>
      <c r="D479" s="2" t="s">
        <v>1133</v>
      </c>
      <c r="E479" s="2">
        <v>1</v>
      </c>
      <c r="F479" s="2">
        <v>28</v>
      </c>
      <c r="G479" s="2">
        <v>0.01</v>
      </c>
    </row>
    <row r="480" spans="1:7" ht="16" x14ac:dyDescent="0.2">
      <c r="A480" s="2" t="s">
        <v>316</v>
      </c>
      <c r="B480" s="2" t="s">
        <v>886</v>
      </c>
      <c r="C480" s="2" t="s">
        <v>1133</v>
      </c>
      <c r="D480" s="2" t="s">
        <v>1134</v>
      </c>
      <c r="E480" s="2">
        <v>1</v>
      </c>
      <c r="F480" s="2">
        <v>0</v>
      </c>
      <c r="G480" s="2">
        <v>0</v>
      </c>
    </row>
    <row r="481" spans="1:7" ht="16" x14ac:dyDescent="0.2">
      <c r="A481" s="2" t="s">
        <v>316</v>
      </c>
      <c r="B481" s="2" t="s">
        <v>886</v>
      </c>
      <c r="C481" s="2" t="s">
        <v>1134</v>
      </c>
      <c r="D481" s="2" t="s">
        <v>1135</v>
      </c>
      <c r="E481" s="2">
        <v>1</v>
      </c>
      <c r="F481" s="2">
        <v>0</v>
      </c>
      <c r="G481" s="2">
        <v>0</v>
      </c>
    </row>
    <row r="482" spans="1:7" ht="16" x14ac:dyDescent="0.2">
      <c r="A482" s="2" t="s">
        <v>316</v>
      </c>
      <c r="B482" s="2" t="s">
        <v>886</v>
      </c>
      <c r="C482" s="2" t="s">
        <v>1135</v>
      </c>
      <c r="D482" s="2" t="s">
        <v>1136</v>
      </c>
      <c r="E482" s="2">
        <v>1</v>
      </c>
      <c r="F482" s="2">
        <v>0</v>
      </c>
      <c r="G482" s="2">
        <v>0</v>
      </c>
    </row>
    <row r="483" spans="1:7" ht="16" x14ac:dyDescent="0.2">
      <c r="A483" s="2" t="s">
        <v>316</v>
      </c>
      <c r="B483" s="2" t="s">
        <v>886</v>
      </c>
      <c r="C483" s="2" t="s">
        <v>1136</v>
      </c>
      <c r="D483" s="2" t="s">
        <v>1137</v>
      </c>
      <c r="E483" s="2">
        <v>1</v>
      </c>
      <c r="F483" s="2">
        <v>0</v>
      </c>
      <c r="G483" s="2">
        <v>0</v>
      </c>
    </row>
    <row r="484" spans="1:7" ht="16" x14ac:dyDescent="0.2">
      <c r="A484" s="2" t="s">
        <v>316</v>
      </c>
      <c r="B484" s="2" t="s">
        <v>886</v>
      </c>
      <c r="C484" s="2" t="s">
        <v>1137</v>
      </c>
      <c r="D484" s="2" t="s">
        <v>1138</v>
      </c>
      <c r="E484" s="2">
        <v>1</v>
      </c>
      <c r="F484" s="2">
        <v>0</v>
      </c>
      <c r="G484" s="2">
        <v>0</v>
      </c>
    </row>
    <row r="485" spans="1:7" ht="16" x14ac:dyDescent="0.2">
      <c r="A485" s="2" t="s">
        <v>316</v>
      </c>
      <c r="B485" s="2" t="s">
        <v>886</v>
      </c>
      <c r="C485" s="2" t="s">
        <v>1138</v>
      </c>
      <c r="D485" s="2" t="s">
        <v>1139</v>
      </c>
      <c r="E485" s="2">
        <v>1</v>
      </c>
      <c r="F485" s="2">
        <v>0</v>
      </c>
      <c r="G485" s="2">
        <v>0</v>
      </c>
    </row>
    <row r="486" spans="1:7" ht="16" x14ac:dyDescent="0.2">
      <c r="A486" s="2" t="s">
        <v>316</v>
      </c>
      <c r="B486" s="2" t="s">
        <v>886</v>
      </c>
      <c r="C486" s="2" t="s">
        <v>1139</v>
      </c>
      <c r="D486" s="2" t="s">
        <v>1140</v>
      </c>
      <c r="E486" s="2">
        <v>1</v>
      </c>
      <c r="F486" s="2">
        <v>0</v>
      </c>
      <c r="G486" s="2">
        <v>0</v>
      </c>
    </row>
    <row r="487" spans="1:7" ht="16" x14ac:dyDescent="0.2">
      <c r="A487" s="2" t="s">
        <v>316</v>
      </c>
      <c r="B487" s="2" t="s">
        <v>886</v>
      </c>
      <c r="C487" s="2" t="s">
        <v>1140</v>
      </c>
      <c r="D487" s="2" t="s">
        <v>1141</v>
      </c>
      <c r="E487" s="2">
        <v>1</v>
      </c>
      <c r="F487" s="2">
        <v>0</v>
      </c>
      <c r="G487" s="2">
        <v>0</v>
      </c>
    </row>
    <row r="488" spans="1:7" ht="16" x14ac:dyDescent="0.2">
      <c r="A488" s="2" t="s">
        <v>316</v>
      </c>
      <c r="B488" s="2" t="s">
        <v>886</v>
      </c>
      <c r="C488" s="2" t="s">
        <v>1141</v>
      </c>
      <c r="D488" s="2" t="s">
        <v>1142</v>
      </c>
      <c r="E488" s="2">
        <v>1</v>
      </c>
      <c r="F488" s="2">
        <v>0</v>
      </c>
      <c r="G488" s="2">
        <v>0</v>
      </c>
    </row>
    <row r="489" spans="1:7" ht="16" x14ac:dyDescent="0.2">
      <c r="A489" s="2" t="s">
        <v>316</v>
      </c>
      <c r="B489" s="2" t="s">
        <v>886</v>
      </c>
      <c r="C489" s="2" t="s">
        <v>1142</v>
      </c>
      <c r="D489" s="2" t="s">
        <v>1143</v>
      </c>
      <c r="E489" s="2">
        <v>1</v>
      </c>
      <c r="F489" s="2">
        <v>0</v>
      </c>
      <c r="G489" s="2">
        <v>0</v>
      </c>
    </row>
    <row r="490" spans="1:7" ht="16" x14ac:dyDescent="0.2">
      <c r="A490" s="2" t="s">
        <v>316</v>
      </c>
      <c r="B490" s="2" t="s">
        <v>886</v>
      </c>
      <c r="C490" s="2" t="s">
        <v>1143</v>
      </c>
      <c r="D490" s="2" t="s">
        <v>1144</v>
      </c>
      <c r="E490" s="2">
        <v>1</v>
      </c>
      <c r="F490" s="2">
        <v>0</v>
      </c>
      <c r="G490" s="2">
        <v>0</v>
      </c>
    </row>
    <row r="491" spans="1:7" ht="16" x14ac:dyDescent="0.2">
      <c r="A491" s="2" t="s">
        <v>316</v>
      </c>
      <c r="B491" s="2" t="s">
        <v>886</v>
      </c>
      <c r="C491" s="2" t="s">
        <v>1144</v>
      </c>
      <c r="D491" s="2" t="s">
        <v>1145</v>
      </c>
      <c r="E491" s="2">
        <v>1</v>
      </c>
      <c r="F491" s="2">
        <v>1204</v>
      </c>
      <c r="G491" s="2">
        <v>0.37</v>
      </c>
    </row>
    <row r="492" spans="1:7" ht="16" x14ac:dyDescent="0.2">
      <c r="A492" s="2" t="s">
        <v>316</v>
      </c>
      <c r="B492" s="2" t="s">
        <v>886</v>
      </c>
      <c r="C492" s="2" t="s">
        <v>1145</v>
      </c>
      <c r="D492" s="2" t="s">
        <v>1146</v>
      </c>
      <c r="E492" s="2">
        <v>1</v>
      </c>
      <c r="F492" s="2">
        <v>4272</v>
      </c>
      <c r="G492" s="2">
        <v>1.3</v>
      </c>
    </row>
    <row r="493" spans="1:7" ht="16" x14ac:dyDescent="0.2">
      <c r="A493" s="2" t="s">
        <v>316</v>
      </c>
      <c r="B493" s="2" t="s">
        <v>886</v>
      </c>
      <c r="C493" s="2" t="s">
        <v>1146</v>
      </c>
      <c r="D493" s="2" t="s">
        <v>1147</v>
      </c>
      <c r="E493" s="2">
        <v>1</v>
      </c>
      <c r="F493" s="2">
        <v>1</v>
      </c>
      <c r="G493" s="2">
        <v>0</v>
      </c>
    </row>
    <row r="494" spans="1:7" ht="16" x14ac:dyDescent="0.2">
      <c r="A494" s="2" t="s">
        <v>316</v>
      </c>
      <c r="B494" s="2" t="s">
        <v>886</v>
      </c>
      <c r="C494" s="2" t="s">
        <v>1147</v>
      </c>
      <c r="D494" s="2" t="s">
        <v>1148</v>
      </c>
      <c r="E494" s="2">
        <v>1</v>
      </c>
      <c r="F494" s="2">
        <v>708</v>
      </c>
      <c r="G494" s="2">
        <v>0.21</v>
      </c>
    </row>
    <row r="495" spans="1:7" ht="16" x14ac:dyDescent="0.2">
      <c r="A495" s="2" t="s">
        <v>316</v>
      </c>
      <c r="B495" s="2" t="s">
        <v>886</v>
      </c>
      <c r="C495" s="2" t="s">
        <v>1148</v>
      </c>
      <c r="D495" s="2" t="s">
        <v>1149</v>
      </c>
      <c r="E495" s="2">
        <v>1</v>
      </c>
      <c r="F495" s="2">
        <v>744</v>
      </c>
      <c r="G495" s="2">
        <v>0.22</v>
      </c>
    </row>
    <row r="496" spans="1:7" ht="16" x14ac:dyDescent="0.2">
      <c r="A496" s="2" t="s">
        <v>316</v>
      </c>
      <c r="B496" s="2" t="s">
        <v>886</v>
      </c>
      <c r="C496" s="2" t="s">
        <v>1149</v>
      </c>
      <c r="D496" s="2" t="s">
        <v>1150</v>
      </c>
      <c r="E496" s="2">
        <v>1</v>
      </c>
      <c r="F496" s="2">
        <v>4549</v>
      </c>
      <c r="G496" s="2">
        <v>1.36</v>
      </c>
    </row>
    <row r="497" spans="1:7" ht="16" x14ac:dyDescent="0.2">
      <c r="A497" s="2" t="s">
        <v>316</v>
      </c>
      <c r="B497" s="2" t="s">
        <v>886</v>
      </c>
      <c r="C497" s="2" t="s">
        <v>1150</v>
      </c>
      <c r="D497" s="2" t="s">
        <v>1151</v>
      </c>
      <c r="E497" s="2">
        <v>1</v>
      </c>
      <c r="F497" s="2">
        <v>12</v>
      </c>
      <c r="G497" s="2">
        <v>0</v>
      </c>
    </row>
    <row r="498" spans="1:7" ht="16" x14ac:dyDescent="0.2">
      <c r="A498" s="2" t="s">
        <v>316</v>
      </c>
      <c r="B498" s="2" t="s">
        <v>886</v>
      </c>
      <c r="C498" s="2" t="s">
        <v>1151</v>
      </c>
      <c r="D498" s="2" t="s">
        <v>1152</v>
      </c>
      <c r="E498" s="2">
        <v>1</v>
      </c>
      <c r="F498" s="2">
        <v>1247</v>
      </c>
      <c r="G498" s="2">
        <v>0.37</v>
      </c>
    </row>
    <row r="499" spans="1:7" ht="16" x14ac:dyDescent="0.2">
      <c r="A499" s="2" t="s">
        <v>316</v>
      </c>
      <c r="B499" s="2" t="s">
        <v>886</v>
      </c>
      <c r="C499" s="2" t="s">
        <v>1152</v>
      </c>
      <c r="D499" s="2" t="s">
        <v>1153</v>
      </c>
      <c r="E499" s="2">
        <v>1</v>
      </c>
      <c r="F499" s="2">
        <v>6</v>
      </c>
      <c r="G499" s="2">
        <v>0</v>
      </c>
    </row>
    <row r="500" spans="1:7" ht="16" x14ac:dyDescent="0.2">
      <c r="A500" s="2" t="s">
        <v>316</v>
      </c>
      <c r="B500" s="2" t="s">
        <v>886</v>
      </c>
      <c r="C500" s="2" t="s">
        <v>1153</v>
      </c>
      <c r="D500" s="2" t="s">
        <v>1154</v>
      </c>
      <c r="E500" s="2">
        <v>1</v>
      </c>
      <c r="F500" s="2">
        <v>287</v>
      </c>
      <c r="G500" s="2">
        <v>0.09</v>
      </c>
    </row>
    <row r="501" spans="1:7" ht="16" x14ac:dyDescent="0.2">
      <c r="A501" s="2" t="s">
        <v>316</v>
      </c>
      <c r="B501" s="2" t="s">
        <v>886</v>
      </c>
      <c r="C501" s="2" t="s">
        <v>1154</v>
      </c>
      <c r="D501" s="2" t="s">
        <v>1155</v>
      </c>
      <c r="E501" s="2">
        <v>1</v>
      </c>
      <c r="F501" s="2">
        <v>0</v>
      </c>
      <c r="G501" s="2">
        <v>0</v>
      </c>
    </row>
    <row r="502" spans="1:7" ht="16" x14ac:dyDescent="0.2">
      <c r="A502" s="2" t="s">
        <v>316</v>
      </c>
      <c r="B502" s="2" t="s">
        <v>886</v>
      </c>
      <c r="C502" s="2" t="s">
        <v>1155</v>
      </c>
      <c r="D502" s="2" t="s">
        <v>1156</v>
      </c>
      <c r="E502" s="2">
        <v>1</v>
      </c>
      <c r="F502" s="2">
        <v>11</v>
      </c>
      <c r="G502" s="2">
        <v>0</v>
      </c>
    </row>
    <row r="503" spans="1:7" ht="16" x14ac:dyDescent="0.2">
      <c r="A503" s="2" t="s">
        <v>316</v>
      </c>
      <c r="B503" s="2" t="s">
        <v>886</v>
      </c>
      <c r="C503" s="2" t="s">
        <v>1156</v>
      </c>
      <c r="D503" s="2" t="s">
        <v>1157</v>
      </c>
      <c r="E503" s="2">
        <v>1</v>
      </c>
      <c r="F503" s="2">
        <v>0</v>
      </c>
      <c r="G503" s="2">
        <v>0</v>
      </c>
    </row>
    <row r="504" spans="1:7" ht="16" x14ac:dyDescent="0.2">
      <c r="A504" s="2" t="s">
        <v>316</v>
      </c>
      <c r="B504" s="2" t="s">
        <v>886</v>
      </c>
      <c r="C504" s="2" t="s">
        <v>1157</v>
      </c>
      <c r="D504" s="2" t="s">
        <v>1158</v>
      </c>
      <c r="E504" s="2">
        <v>1</v>
      </c>
      <c r="F504" s="2">
        <v>0</v>
      </c>
      <c r="G504" s="2">
        <v>0</v>
      </c>
    </row>
    <row r="505" spans="1:7" ht="16" x14ac:dyDescent="0.2">
      <c r="A505" s="2" t="s">
        <v>316</v>
      </c>
      <c r="B505" s="2" t="s">
        <v>886</v>
      </c>
      <c r="C505" s="2" t="s">
        <v>1158</v>
      </c>
      <c r="D505" s="2" t="s">
        <v>1159</v>
      </c>
      <c r="E505" s="2">
        <v>1</v>
      </c>
      <c r="F505" s="2">
        <v>0</v>
      </c>
      <c r="G505" s="2">
        <v>0</v>
      </c>
    </row>
    <row r="506" spans="1:7" ht="16" x14ac:dyDescent="0.2">
      <c r="A506" s="2" t="s">
        <v>316</v>
      </c>
      <c r="B506" s="2" t="s">
        <v>886</v>
      </c>
      <c r="C506" s="2" t="s">
        <v>1159</v>
      </c>
      <c r="D506" s="2" t="s">
        <v>1160</v>
      </c>
      <c r="E506" s="2">
        <v>1</v>
      </c>
      <c r="F506" s="2">
        <v>0</v>
      </c>
      <c r="G506" s="2">
        <v>0</v>
      </c>
    </row>
    <row r="507" spans="1:7" ht="16" x14ac:dyDescent="0.2">
      <c r="A507" s="2" t="s">
        <v>316</v>
      </c>
      <c r="B507" s="2" t="s">
        <v>886</v>
      </c>
      <c r="C507" s="2" t="s">
        <v>1160</v>
      </c>
      <c r="D507" s="2" t="s">
        <v>1161</v>
      </c>
      <c r="E507" s="2">
        <v>1</v>
      </c>
      <c r="F507" s="2">
        <v>0</v>
      </c>
      <c r="G507" s="2">
        <v>0</v>
      </c>
    </row>
    <row r="508" spans="1:7" ht="16" x14ac:dyDescent="0.2">
      <c r="A508" s="2" t="s">
        <v>316</v>
      </c>
      <c r="B508" s="2" t="s">
        <v>886</v>
      </c>
      <c r="C508" s="2" t="s">
        <v>1161</v>
      </c>
      <c r="D508" s="2" t="s">
        <v>1162</v>
      </c>
      <c r="E508" s="2">
        <v>1</v>
      </c>
      <c r="F508" s="2">
        <v>0</v>
      </c>
      <c r="G508" s="2">
        <v>0</v>
      </c>
    </row>
    <row r="509" spans="1:7" ht="16" x14ac:dyDescent="0.2">
      <c r="A509" s="2" t="s">
        <v>316</v>
      </c>
      <c r="B509" s="2" t="s">
        <v>886</v>
      </c>
      <c r="C509" s="2" t="s">
        <v>1162</v>
      </c>
      <c r="D509" s="2" t="s">
        <v>1163</v>
      </c>
      <c r="E509" s="2">
        <v>1</v>
      </c>
      <c r="F509" s="2">
        <v>6</v>
      </c>
      <c r="G509" s="2">
        <v>0</v>
      </c>
    </row>
    <row r="510" spans="1:7" ht="16" x14ac:dyDescent="0.2">
      <c r="A510" s="2" t="s">
        <v>316</v>
      </c>
      <c r="B510" s="2" t="s">
        <v>886</v>
      </c>
      <c r="C510" s="2" t="s">
        <v>1163</v>
      </c>
      <c r="D510" s="2" t="s">
        <v>1164</v>
      </c>
      <c r="E510" s="2">
        <v>1</v>
      </c>
      <c r="F510" s="2">
        <v>0</v>
      </c>
      <c r="G510" s="2">
        <v>0</v>
      </c>
    </row>
    <row r="511" spans="1:7" ht="16" x14ac:dyDescent="0.2">
      <c r="A511" s="2" t="s">
        <v>316</v>
      </c>
      <c r="B511" s="2" t="s">
        <v>886</v>
      </c>
      <c r="C511" s="2" t="s">
        <v>1164</v>
      </c>
      <c r="D511" s="2" t="s">
        <v>1165</v>
      </c>
      <c r="E511" s="2">
        <v>1</v>
      </c>
      <c r="F511" s="2">
        <v>0</v>
      </c>
      <c r="G511" s="2">
        <v>0</v>
      </c>
    </row>
    <row r="512" spans="1:7" ht="16" x14ac:dyDescent="0.2">
      <c r="A512" s="2" t="s">
        <v>316</v>
      </c>
      <c r="B512" s="2" t="s">
        <v>886</v>
      </c>
      <c r="C512" s="2" t="s">
        <v>1165</v>
      </c>
      <c r="D512" s="2" t="s">
        <v>1166</v>
      </c>
      <c r="E512" s="2">
        <v>1</v>
      </c>
      <c r="F512" s="2">
        <v>0</v>
      </c>
      <c r="G512" s="2">
        <v>0</v>
      </c>
    </row>
    <row r="513" spans="1:7" ht="16" x14ac:dyDescent="0.2">
      <c r="A513" s="2" t="s">
        <v>316</v>
      </c>
      <c r="B513" s="2" t="s">
        <v>886</v>
      </c>
      <c r="C513" s="2" t="s">
        <v>1166</v>
      </c>
      <c r="D513" s="2" t="s">
        <v>1167</v>
      </c>
      <c r="E513" s="2">
        <v>1</v>
      </c>
      <c r="F513" s="2">
        <v>0</v>
      </c>
      <c r="G513" s="2">
        <v>0</v>
      </c>
    </row>
    <row r="514" spans="1:7" ht="16" x14ac:dyDescent="0.2">
      <c r="A514" s="2" t="s">
        <v>316</v>
      </c>
      <c r="B514" s="2" t="s">
        <v>886</v>
      </c>
      <c r="C514" s="2" t="s">
        <v>1167</v>
      </c>
      <c r="D514" s="2" t="s">
        <v>1168</v>
      </c>
      <c r="E514" s="2">
        <v>1</v>
      </c>
      <c r="F514" s="2">
        <v>0</v>
      </c>
      <c r="G514" s="2">
        <v>0</v>
      </c>
    </row>
    <row r="515" spans="1:7" ht="16" x14ac:dyDescent="0.2">
      <c r="A515" s="2" t="s">
        <v>316</v>
      </c>
      <c r="B515" s="2" t="s">
        <v>886</v>
      </c>
      <c r="C515" s="2" t="s">
        <v>1168</v>
      </c>
      <c r="D515" s="2" t="s">
        <v>1169</v>
      </c>
      <c r="E515" s="2">
        <v>1</v>
      </c>
      <c r="F515" s="2">
        <v>21</v>
      </c>
      <c r="G515" s="2">
        <v>0.01</v>
      </c>
    </row>
    <row r="516" spans="1:7" ht="16" x14ac:dyDescent="0.2">
      <c r="A516" s="2" t="s">
        <v>316</v>
      </c>
      <c r="B516" s="2" t="s">
        <v>886</v>
      </c>
      <c r="C516" s="2" t="s">
        <v>1169</v>
      </c>
      <c r="D516" s="2" t="s">
        <v>1170</v>
      </c>
      <c r="E516" s="2">
        <v>1</v>
      </c>
      <c r="F516" s="2">
        <v>6454</v>
      </c>
      <c r="G516" s="2">
        <v>1.88</v>
      </c>
    </row>
    <row r="517" spans="1:7" ht="16" x14ac:dyDescent="0.2">
      <c r="A517" s="2" t="s">
        <v>316</v>
      </c>
      <c r="B517" s="2" t="s">
        <v>886</v>
      </c>
      <c r="C517" s="2" t="s">
        <v>1170</v>
      </c>
      <c r="D517" s="2" t="s">
        <v>1171</v>
      </c>
      <c r="E517" s="2">
        <v>1</v>
      </c>
      <c r="F517" s="2">
        <v>0</v>
      </c>
      <c r="G517" s="2">
        <v>0</v>
      </c>
    </row>
    <row r="518" spans="1:7" ht="16" x14ac:dyDescent="0.2">
      <c r="A518" s="2" t="s">
        <v>316</v>
      </c>
      <c r="B518" s="2" t="s">
        <v>886</v>
      </c>
      <c r="C518" s="2" t="s">
        <v>1171</v>
      </c>
      <c r="D518" s="2" t="s">
        <v>1172</v>
      </c>
      <c r="E518" s="2">
        <v>1</v>
      </c>
      <c r="F518" s="2">
        <v>3</v>
      </c>
      <c r="G518" s="2">
        <v>0</v>
      </c>
    </row>
    <row r="519" spans="1:7" ht="16" x14ac:dyDescent="0.2">
      <c r="A519" s="2" t="s">
        <v>316</v>
      </c>
      <c r="B519" s="2" t="s">
        <v>886</v>
      </c>
      <c r="C519" s="2" t="s">
        <v>1172</v>
      </c>
      <c r="D519" s="2" t="s">
        <v>1173</v>
      </c>
      <c r="E519" s="2">
        <v>1</v>
      </c>
      <c r="F519" s="2">
        <v>7</v>
      </c>
      <c r="G519" s="2">
        <v>0</v>
      </c>
    </row>
    <row r="520" spans="1:7" ht="16" x14ac:dyDescent="0.2">
      <c r="A520" s="2" t="s">
        <v>316</v>
      </c>
      <c r="B520" s="2" t="s">
        <v>886</v>
      </c>
      <c r="C520" s="2" t="s">
        <v>1173</v>
      </c>
      <c r="D520" s="2" t="s">
        <v>1174</v>
      </c>
      <c r="E520" s="2">
        <v>1</v>
      </c>
      <c r="F520" s="2">
        <v>440</v>
      </c>
      <c r="G520" s="2">
        <v>0.13</v>
      </c>
    </row>
    <row r="521" spans="1:7" ht="16" x14ac:dyDescent="0.2">
      <c r="A521" s="2" t="s">
        <v>316</v>
      </c>
      <c r="B521" s="2" t="s">
        <v>886</v>
      </c>
      <c r="C521" s="2" t="s">
        <v>1174</v>
      </c>
      <c r="D521" s="2" t="s">
        <v>1175</v>
      </c>
      <c r="E521" s="2">
        <v>1</v>
      </c>
      <c r="F521" s="2">
        <v>0</v>
      </c>
      <c r="G521" s="2">
        <v>0</v>
      </c>
    </row>
    <row r="522" spans="1:7" ht="16" x14ac:dyDescent="0.2">
      <c r="A522" s="2" t="s">
        <v>316</v>
      </c>
      <c r="B522" s="2" t="s">
        <v>886</v>
      </c>
      <c r="C522" s="2" t="s">
        <v>1175</v>
      </c>
      <c r="D522" s="2" t="s">
        <v>1176</v>
      </c>
      <c r="E522" s="2">
        <v>1</v>
      </c>
      <c r="F522" s="2">
        <v>4</v>
      </c>
      <c r="G522" s="2">
        <v>0</v>
      </c>
    </row>
    <row r="523" spans="1:7" ht="16" x14ac:dyDescent="0.2">
      <c r="A523" s="2" t="s">
        <v>316</v>
      </c>
      <c r="B523" s="2" t="s">
        <v>886</v>
      </c>
      <c r="C523" s="2" t="s">
        <v>1176</v>
      </c>
      <c r="D523" s="2" t="s">
        <v>1177</v>
      </c>
      <c r="E523" s="2">
        <v>1</v>
      </c>
      <c r="F523" s="2">
        <v>0</v>
      </c>
      <c r="G523" s="2">
        <v>0</v>
      </c>
    </row>
    <row r="524" spans="1:7" ht="16" x14ac:dyDescent="0.2">
      <c r="A524" s="2" t="s">
        <v>316</v>
      </c>
      <c r="B524" s="2" t="s">
        <v>886</v>
      </c>
      <c r="C524" s="2" t="s">
        <v>1177</v>
      </c>
      <c r="D524" s="2" t="s">
        <v>1178</v>
      </c>
      <c r="E524" s="2">
        <v>1</v>
      </c>
      <c r="F524" s="2">
        <v>236</v>
      </c>
      <c r="G524" s="2">
        <v>7.0000000000000007E-2</v>
      </c>
    </row>
    <row r="525" spans="1:7" ht="16" x14ac:dyDescent="0.2">
      <c r="A525" s="2" t="s">
        <v>316</v>
      </c>
      <c r="B525" s="2" t="s">
        <v>886</v>
      </c>
      <c r="C525" s="2" t="s">
        <v>1178</v>
      </c>
      <c r="D525" s="2" t="s">
        <v>1179</v>
      </c>
      <c r="E525" s="2">
        <v>1</v>
      </c>
      <c r="F525" s="2">
        <v>1</v>
      </c>
      <c r="G525" s="2">
        <v>0</v>
      </c>
    </row>
    <row r="526" spans="1:7" ht="16" x14ac:dyDescent="0.2">
      <c r="A526" s="2" t="s">
        <v>316</v>
      </c>
      <c r="B526" s="2" t="s">
        <v>886</v>
      </c>
      <c r="C526" s="2" t="s">
        <v>1179</v>
      </c>
      <c r="D526" s="2" t="s">
        <v>1180</v>
      </c>
      <c r="E526" s="2">
        <v>1</v>
      </c>
      <c r="F526" s="2">
        <v>0</v>
      </c>
      <c r="G526" s="2">
        <v>0</v>
      </c>
    </row>
    <row r="527" spans="1:7" ht="16" x14ac:dyDescent="0.2">
      <c r="A527" s="2" t="s">
        <v>316</v>
      </c>
      <c r="B527" s="2" t="s">
        <v>886</v>
      </c>
      <c r="C527" s="2" t="s">
        <v>1180</v>
      </c>
      <c r="D527" s="2" t="s">
        <v>1181</v>
      </c>
      <c r="E527" s="2">
        <v>1</v>
      </c>
      <c r="F527" s="2">
        <v>0</v>
      </c>
      <c r="G527" s="2">
        <v>0</v>
      </c>
    </row>
    <row r="528" spans="1:7" ht="16" x14ac:dyDescent="0.2">
      <c r="A528" s="2" t="s">
        <v>316</v>
      </c>
      <c r="B528" s="2" t="s">
        <v>886</v>
      </c>
      <c r="C528" s="2" t="s">
        <v>1181</v>
      </c>
      <c r="D528" s="2" t="s">
        <v>1182</v>
      </c>
      <c r="E528" s="2">
        <v>1</v>
      </c>
      <c r="F528" s="2">
        <v>0</v>
      </c>
      <c r="G528" s="2">
        <v>0</v>
      </c>
    </row>
    <row r="529" spans="1:7" ht="16" x14ac:dyDescent="0.2">
      <c r="A529" s="2" t="s">
        <v>316</v>
      </c>
      <c r="B529" s="2" t="s">
        <v>886</v>
      </c>
      <c r="C529" s="2" t="s">
        <v>1182</v>
      </c>
      <c r="D529" s="2" t="s">
        <v>1183</v>
      </c>
      <c r="E529" s="2">
        <v>1</v>
      </c>
      <c r="F529" s="2">
        <v>0</v>
      </c>
      <c r="G529" s="2">
        <v>0</v>
      </c>
    </row>
    <row r="530" spans="1:7" ht="16" x14ac:dyDescent="0.2">
      <c r="A530" s="2" t="s">
        <v>316</v>
      </c>
      <c r="B530" s="2" t="s">
        <v>886</v>
      </c>
      <c r="C530" s="2" t="s">
        <v>1183</v>
      </c>
      <c r="D530" s="2" t="s">
        <v>1184</v>
      </c>
      <c r="E530" s="2">
        <v>1</v>
      </c>
      <c r="F530" s="2">
        <v>0</v>
      </c>
      <c r="G530" s="2">
        <v>0</v>
      </c>
    </row>
    <row r="531" spans="1:7" ht="16" x14ac:dyDescent="0.2">
      <c r="A531" s="2" t="s">
        <v>316</v>
      </c>
      <c r="B531" s="2" t="s">
        <v>886</v>
      </c>
      <c r="C531" s="2" t="s">
        <v>1184</v>
      </c>
      <c r="D531" s="2" t="s">
        <v>1185</v>
      </c>
      <c r="E531" s="2">
        <v>1</v>
      </c>
      <c r="F531" s="2">
        <v>0</v>
      </c>
      <c r="G531" s="2">
        <v>0</v>
      </c>
    </row>
    <row r="532" spans="1:7" ht="16" x14ac:dyDescent="0.2">
      <c r="A532" s="2" t="s">
        <v>316</v>
      </c>
      <c r="B532" s="2" t="s">
        <v>886</v>
      </c>
      <c r="C532" s="2" t="s">
        <v>1185</v>
      </c>
      <c r="D532" s="2" t="s">
        <v>1186</v>
      </c>
      <c r="E532" s="2">
        <v>1</v>
      </c>
      <c r="F532" s="2">
        <v>0</v>
      </c>
      <c r="G532" s="2">
        <v>0</v>
      </c>
    </row>
    <row r="533" spans="1:7" ht="16" x14ac:dyDescent="0.2">
      <c r="A533" s="2" t="s">
        <v>316</v>
      </c>
      <c r="B533" s="2" t="s">
        <v>886</v>
      </c>
      <c r="C533" s="2" t="s">
        <v>1186</v>
      </c>
      <c r="D533" s="2" t="s">
        <v>1187</v>
      </c>
      <c r="E533" s="2">
        <v>1</v>
      </c>
      <c r="F533" s="2">
        <v>0</v>
      </c>
      <c r="G533" s="2">
        <v>0</v>
      </c>
    </row>
    <row r="534" spans="1:7" ht="16" x14ac:dyDescent="0.2">
      <c r="A534" s="2" t="s">
        <v>316</v>
      </c>
      <c r="B534" s="2" t="s">
        <v>886</v>
      </c>
      <c r="C534" s="2" t="s">
        <v>1187</v>
      </c>
      <c r="D534" s="2" t="s">
        <v>1188</v>
      </c>
      <c r="E534" s="2">
        <v>1</v>
      </c>
      <c r="F534" s="2">
        <v>0</v>
      </c>
      <c r="G534" s="2">
        <v>0</v>
      </c>
    </row>
    <row r="535" spans="1:7" ht="16" x14ac:dyDescent="0.2">
      <c r="A535" s="2" t="s">
        <v>316</v>
      </c>
      <c r="B535" s="2" t="s">
        <v>886</v>
      </c>
      <c r="C535" s="2" t="s">
        <v>1188</v>
      </c>
      <c r="D535" s="2" t="s">
        <v>1189</v>
      </c>
      <c r="E535" s="2">
        <v>1</v>
      </c>
      <c r="F535" s="2">
        <v>0</v>
      </c>
      <c r="G535" s="2">
        <v>0</v>
      </c>
    </row>
    <row r="536" spans="1:7" ht="16" x14ac:dyDescent="0.2">
      <c r="A536" s="2" t="s">
        <v>316</v>
      </c>
      <c r="B536" s="2" t="s">
        <v>886</v>
      </c>
      <c r="C536" s="2" t="s">
        <v>1189</v>
      </c>
      <c r="D536" s="2" t="s">
        <v>1190</v>
      </c>
      <c r="E536" s="2">
        <v>1</v>
      </c>
      <c r="F536" s="2">
        <v>0</v>
      </c>
      <c r="G536" s="2">
        <v>0</v>
      </c>
    </row>
    <row r="537" spans="1:7" ht="16" x14ac:dyDescent="0.2">
      <c r="A537" s="2" t="s">
        <v>316</v>
      </c>
      <c r="B537" s="2" t="s">
        <v>886</v>
      </c>
      <c r="C537" s="2" t="s">
        <v>1190</v>
      </c>
      <c r="D537" s="2" t="s">
        <v>1191</v>
      </c>
      <c r="E537" s="2">
        <v>1</v>
      </c>
      <c r="F537" s="2">
        <v>2333</v>
      </c>
      <c r="G537" s="2">
        <v>0.67</v>
      </c>
    </row>
    <row r="538" spans="1:7" ht="16" x14ac:dyDescent="0.2">
      <c r="A538" s="2" t="s">
        <v>316</v>
      </c>
      <c r="B538" s="2" t="s">
        <v>886</v>
      </c>
      <c r="C538" s="2" t="s">
        <v>1191</v>
      </c>
      <c r="D538" s="2" t="s">
        <v>1192</v>
      </c>
      <c r="E538" s="2">
        <v>1</v>
      </c>
      <c r="F538" s="2">
        <v>2352</v>
      </c>
      <c r="G538" s="2">
        <v>0.67</v>
      </c>
    </row>
    <row r="539" spans="1:7" ht="16" x14ac:dyDescent="0.2">
      <c r="A539" s="2" t="s">
        <v>316</v>
      </c>
      <c r="B539" s="2" t="s">
        <v>886</v>
      </c>
      <c r="C539" s="2" t="s">
        <v>1192</v>
      </c>
      <c r="D539" s="2" t="s">
        <v>1193</v>
      </c>
      <c r="E539" s="2">
        <v>1</v>
      </c>
      <c r="F539" s="2">
        <v>674</v>
      </c>
      <c r="G539" s="2">
        <v>0.19</v>
      </c>
    </row>
    <row r="540" spans="1:7" ht="16" x14ac:dyDescent="0.2">
      <c r="A540" s="2" t="s">
        <v>316</v>
      </c>
      <c r="B540" s="2" t="s">
        <v>886</v>
      </c>
      <c r="C540" s="2" t="s">
        <v>1193</v>
      </c>
      <c r="D540" s="2" t="s">
        <v>1194</v>
      </c>
      <c r="E540" s="2">
        <v>1</v>
      </c>
      <c r="F540" s="2">
        <v>6899</v>
      </c>
      <c r="G540" s="2">
        <v>1.93</v>
      </c>
    </row>
    <row r="541" spans="1:7" ht="16" x14ac:dyDescent="0.2">
      <c r="A541" s="2" t="s">
        <v>316</v>
      </c>
      <c r="B541" s="2" t="s">
        <v>886</v>
      </c>
      <c r="C541" s="2" t="s">
        <v>1194</v>
      </c>
      <c r="D541" s="2" t="s">
        <v>1195</v>
      </c>
      <c r="E541" s="2">
        <v>1</v>
      </c>
      <c r="F541" s="2">
        <v>821</v>
      </c>
      <c r="G541" s="2">
        <v>0.23</v>
      </c>
    </row>
    <row r="542" spans="1:7" ht="16" x14ac:dyDescent="0.2">
      <c r="A542" s="2" t="s">
        <v>316</v>
      </c>
      <c r="B542" s="2" t="s">
        <v>886</v>
      </c>
      <c r="C542" s="2" t="s">
        <v>1195</v>
      </c>
      <c r="D542" s="2" t="s">
        <v>1196</v>
      </c>
      <c r="E542" s="2">
        <v>1</v>
      </c>
      <c r="F542" s="2">
        <v>556</v>
      </c>
      <c r="G542" s="2">
        <v>0.16</v>
      </c>
    </row>
    <row r="543" spans="1:7" ht="16" x14ac:dyDescent="0.2">
      <c r="A543" s="2" t="s">
        <v>316</v>
      </c>
      <c r="B543" s="2" t="s">
        <v>886</v>
      </c>
      <c r="C543" s="2" t="s">
        <v>1196</v>
      </c>
      <c r="D543" s="2" t="s">
        <v>1197</v>
      </c>
      <c r="E543" s="2">
        <v>1</v>
      </c>
      <c r="F543" s="2">
        <v>1168</v>
      </c>
      <c r="G543" s="2">
        <v>0.33</v>
      </c>
    </row>
    <row r="544" spans="1:7" ht="16" x14ac:dyDescent="0.2">
      <c r="A544" s="2" t="s">
        <v>316</v>
      </c>
      <c r="B544" s="2" t="s">
        <v>886</v>
      </c>
      <c r="C544" s="2" t="s">
        <v>1197</v>
      </c>
      <c r="D544" s="2" t="s">
        <v>1198</v>
      </c>
      <c r="E544" s="2">
        <v>1</v>
      </c>
      <c r="F544" s="2">
        <v>3395</v>
      </c>
      <c r="G544" s="2">
        <v>0.94</v>
      </c>
    </row>
    <row r="545" spans="1:7" ht="16" x14ac:dyDescent="0.2">
      <c r="A545" s="2" t="s">
        <v>316</v>
      </c>
      <c r="B545" s="2" t="s">
        <v>886</v>
      </c>
      <c r="C545" s="2" t="s">
        <v>1198</v>
      </c>
      <c r="D545" s="2" t="s">
        <v>1199</v>
      </c>
      <c r="E545" s="2">
        <v>1</v>
      </c>
      <c r="F545" s="2">
        <v>0</v>
      </c>
      <c r="G545" s="2">
        <v>0</v>
      </c>
    </row>
    <row r="546" spans="1:7" ht="16" x14ac:dyDescent="0.2">
      <c r="A546" s="2" t="s">
        <v>316</v>
      </c>
      <c r="B546" s="2" t="s">
        <v>886</v>
      </c>
      <c r="C546" s="2" t="s">
        <v>1199</v>
      </c>
      <c r="D546" s="2" t="s">
        <v>1200</v>
      </c>
      <c r="E546" s="2">
        <v>1</v>
      </c>
      <c r="F546" s="2">
        <v>0</v>
      </c>
      <c r="G546" s="2">
        <v>0</v>
      </c>
    </row>
    <row r="547" spans="1:7" ht="16" x14ac:dyDescent="0.2">
      <c r="A547" s="2" t="s">
        <v>316</v>
      </c>
      <c r="B547" s="2" t="s">
        <v>886</v>
      </c>
      <c r="C547" s="2" t="s">
        <v>1200</v>
      </c>
      <c r="D547" s="2" t="s">
        <v>1201</v>
      </c>
      <c r="E547" s="2">
        <v>1</v>
      </c>
      <c r="F547" s="2">
        <v>0</v>
      </c>
      <c r="G547" s="2">
        <v>0</v>
      </c>
    </row>
    <row r="548" spans="1:7" ht="16" x14ac:dyDescent="0.2">
      <c r="A548" s="2" t="s">
        <v>316</v>
      </c>
      <c r="B548" s="2" t="s">
        <v>886</v>
      </c>
      <c r="C548" s="2" t="s">
        <v>1201</v>
      </c>
      <c r="D548" s="2" t="s">
        <v>1202</v>
      </c>
      <c r="E548" s="2">
        <v>1</v>
      </c>
      <c r="F548" s="2">
        <v>10</v>
      </c>
      <c r="G548" s="2">
        <v>0</v>
      </c>
    </row>
    <row r="549" spans="1:7" ht="16" x14ac:dyDescent="0.2">
      <c r="A549" s="2" t="s">
        <v>316</v>
      </c>
      <c r="B549" s="2" t="s">
        <v>886</v>
      </c>
      <c r="C549" s="2" t="s">
        <v>1202</v>
      </c>
      <c r="D549" s="2" t="s">
        <v>1203</v>
      </c>
      <c r="E549" s="2">
        <v>1</v>
      </c>
      <c r="F549" s="2">
        <v>0</v>
      </c>
      <c r="G549" s="2">
        <v>0</v>
      </c>
    </row>
    <row r="550" spans="1:7" ht="16" x14ac:dyDescent="0.2">
      <c r="A550" s="2" t="s">
        <v>316</v>
      </c>
      <c r="B550" s="2" t="s">
        <v>886</v>
      </c>
      <c r="C550" s="2" t="s">
        <v>1203</v>
      </c>
      <c r="D550" s="2" t="s">
        <v>1204</v>
      </c>
      <c r="E550" s="2">
        <v>1</v>
      </c>
      <c r="F550" s="2">
        <v>2</v>
      </c>
      <c r="G550" s="2">
        <v>0</v>
      </c>
    </row>
    <row r="551" spans="1:7" ht="16" x14ac:dyDescent="0.2">
      <c r="A551" s="2" t="s">
        <v>316</v>
      </c>
      <c r="B551" s="2" t="s">
        <v>886</v>
      </c>
      <c r="C551" s="2" t="s">
        <v>1204</v>
      </c>
      <c r="D551" s="2" t="s">
        <v>1205</v>
      </c>
      <c r="E551" s="2">
        <v>1</v>
      </c>
      <c r="F551" s="2">
        <v>0</v>
      </c>
      <c r="G551" s="2">
        <v>0</v>
      </c>
    </row>
    <row r="552" spans="1:7" ht="16" x14ac:dyDescent="0.2">
      <c r="A552" s="2" t="s">
        <v>316</v>
      </c>
      <c r="B552" s="2" t="s">
        <v>886</v>
      </c>
      <c r="C552" s="2" t="s">
        <v>1205</v>
      </c>
      <c r="D552" s="2" t="s">
        <v>1206</v>
      </c>
      <c r="E552" s="2">
        <v>1</v>
      </c>
      <c r="F552" s="2">
        <v>0</v>
      </c>
      <c r="G552" s="2">
        <v>0</v>
      </c>
    </row>
    <row r="553" spans="1:7" ht="16" x14ac:dyDescent="0.2">
      <c r="A553" s="2" t="s">
        <v>316</v>
      </c>
      <c r="B553" s="2" t="s">
        <v>886</v>
      </c>
      <c r="C553" s="2" t="s">
        <v>1206</v>
      </c>
      <c r="D553" s="2" t="s">
        <v>1207</v>
      </c>
      <c r="E553" s="2">
        <v>1</v>
      </c>
      <c r="F553" s="2">
        <v>0</v>
      </c>
      <c r="G553" s="2">
        <v>0</v>
      </c>
    </row>
    <row r="554" spans="1:7" ht="16" x14ac:dyDescent="0.2">
      <c r="A554" s="2" t="s">
        <v>316</v>
      </c>
      <c r="B554" s="2" t="s">
        <v>886</v>
      </c>
      <c r="C554" s="2" t="s">
        <v>1207</v>
      </c>
      <c r="D554" s="2" t="s">
        <v>1208</v>
      </c>
      <c r="E554" s="2">
        <v>1</v>
      </c>
      <c r="F554" s="2">
        <v>0</v>
      </c>
      <c r="G554" s="2">
        <v>0</v>
      </c>
    </row>
    <row r="555" spans="1:7" ht="16" x14ac:dyDescent="0.2">
      <c r="A555" s="2" t="s">
        <v>316</v>
      </c>
      <c r="B555" s="2" t="s">
        <v>886</v>
      </c>
      <c r="C555" s="2" t="s">
        <v>1208</v>
      </c>
      <c r="D555" s="2" t="s">
        <v>1209</v>
      </c>
      <c r="E555" s="2">
        <v>1</v>
      </c>
      <c r="F555" s="2">
        <v>0</v>
      </c>
      <c r="G555" s="2">
        <v>0</v>
      </c>
    </row>
    <row r="556" spans="1:7" ht="16" x14ac:dyDescent="0.2">
      <c r="A556" s="2" t="s">
        <v>316</v>
      </c>
      <c r="B556" s="2" t="s">
        <v>886</v>
      </c>
      <c r="C556" s="2" t="s">
        <v>1209</v>
      </c>
      <c r="D556" s="2" t="s">
        <v>1210</v>
      </c>
      <c r="E556" s="2">
        <v>1</v>
      </c>
      <c r="F556" s="2">
        <v>0</v>
      </c>
      <c r="G556" s="2">
        <v>0</v>
      </c>
    </row>
    <row r="557" spans="1:7" ht="16" x14ac:dyDescent="0.2">
      <c r="A557" s="2" t="s">
        <v>316</v>
      </c>
      <c r="B557" s="2" t="s">
        <v>886</v>
      </c>
      <c r="C557" s="2" t="s">
        <v>1210</v>
      </c>
      <c r="D557" s="2" t="s">
        <v>1211</v>
      </c>
      <c r="E557" s="2">
        <v>1</v>
      </c>
      <c r="F557" s="2">
        <v>0</v>
      </c>
      <c r="G557" s="2">
        <v>0</v>
      </c>
    </row>
    <row r="558" spans="1:7" ht="16" x14ac:dyDescent="0.2">
      <c r="A558" s="2" t="s">
        <v>316</v>
      </c>
      <c r="B558" s="2" t="s">
        <v>886</v>
      </c>
      <c r="C558" s="2" t="s">
        <v>1211</v>
      </c>
      <c r="D558" s="2" t="s">
        <v>1212</v>
      </c>
      <c r="E558" s="2">
        <v>1</v>
      </c>
      <c r="F558" s="2">
        <v>10</v>
      </c>
      <c r="G558" s="2">
        <v>0</v>
      </c>
    </row>
    <row r="559" spans="1:7" ht="16" x14ac:dyDescent="0.2">
      <c r="A559" s="2" t="s">
        <v>316</v>
      </c>
      <c r="B559" s="2" t="s">
        <v>886</v>
      </c>
      <c r="C559" s="2" t="s">
        <v>1212</v>
      </c>
      <c r="D559" s="2" t="s">
        <v>1213</v>
      </c>
      <c r="E559" s="2">
        <v>1</v>
      </c>
      <c r="F559" s="2">
        <v>0</v>
      </c>
      <c r="G559" s="2">
        <v>0</v>
      </c>
    </row>
    <row r="560" spans="1:7" ht="16" x14ac:dyDescent="0.2">
      <c r="A560" s="2" t="s">
        <v>316</v>
      </c>
      <c r="B560" s="2" t="s">
        <v>886</v>
      </c>
      <c r="C560" s="2" t="s">
        <v>1213</v>
      </c>
      <c r="D560" s="2" t="s">
        <v>1214</v>
      </c>
      <c r="E560" s="2">
        <v>1</v>
      </c>
      <c r="F560" s="2">
        <v>0</v>
      </c>
      <c r="G560" s="2">
        <v>0</v>
      </c>
    </row>
    <row r="561" spans="1:7" ht="16" x14ac:dyDescent="0.2">
      <c r="A561" s="2" t="s">
        <v>316</v>
      </c>
      <c r="B561" s="2" t="s">
        <v>886</v>
      </c>
      <c r="C561" s="2" t="s">
        <v>1214</v>
      </c>
      <c r="D561" s="2" t="s">
        <v>1215</v>
      </c>
      <c r="E561" s="2">
        <v>1</v>
      </c>
      <c r="F561" s="2">
        <v>0</v>
      </c>
      <c r="G561" s="2">
        <v>0</v>
      </c>
    </row>
    <row r="562" spans="1:7" ht="16" x14ac:dyDescent="0.2">
      <c r="A562" s="2" t="s">
        <v>316</v>
      </c>
      <c r="B562" s="2" t="s">
        <v>886</v>
      </c>
      <c r="C562" s="2" t="s">
        <v>1215</v>
      </c>
      <c r="D562" s="2" t="s">
        <v>1216</v>
      </c>
      <c r="E562" s="2">
        <v>1</v>
      </c>
      <c r="F562" s="2">
        <v>476</v>
      </c>
      <c r="G562" s="2">
        <v>0.13</v>
      </c>
    </row>
    <row r="563" spans="1:7" ht="16" x14ac:dyDescent="0.2">
      <c r="A563" s="2" t="s">
        <v>316</v>
      </c>
      <c r="B563" s="2" t="s">
        <v>886</v>
      </c>
      <c r="C563" s="2" t="s">
        <v>1216</v>
      </c>
      <c r="D563" s="2" t="s">
        <v>1217</v>
      </c>
      <c r="E563" s="2">
        <v>1</v>
      </c>
      <c r="F563" s="2">
        <v>850</v>
      </c>
      <c r="G563" s="2">
        <v>0.23</v>
      </c>
    </row>
    <row r="564" spans="1:7" ht="16" x14ac:dyDescent="0.2">
      <c r="A564" s="2" t="s">
        <v>316</v>
      </c>
      <c r="B564" s="2" t="s">
        <v>886</v>
      </c>
      <c r="C564" s="2" t="s">
        <v>1217</v>
      </c>
      <c r="D564" s="2" t="s">
        <v>1218</v>
      </c>
      <c r="E564" s="2">
        <v>1</v>
      </c>
      <c r="F564" s="2">
        <v>8</v>
      </c>
      <c r="G564" s="2">
        <v>0</v>
      </c>
    </row>
    <row r="565" spans="1:7" ht="16" x14ac:dyDescent="0.2">
      <c r="A565" s="2" t="s">
        <v>316</v>
      </c>
      <c r="B565" s="2" t="s">
        <v>886</v>
      </c>
      <c r="C565" s="2" t="s">
        <v>1218</v>
      </c>
      <c r="D565" s="2" t="s">
        <v>1219</v>
      </c>
      <c r="E565" s="2">
        <v>1</v>
      </c>
      <c r="F565" s="2">
        <v>872</v>
      </c>
      <c r="G565" s="2">
        <v>0.24</v>
      </c>
    </row>
    <row r="566" spans="1:7" ht="16" x14ac:dyDescent="0.2">
      <c r="A566" s="2" t="s">
        <v>316</v>
      </c>
      <c r="B566" s="2" t="s">
        <v>886</v>
      </c>
      <c r="C566" s="2" t="s">
        <v>1219</v>
      </c>
      <c r="D566" s="2" t="s">
        <v>1220</v>
      </c>
      <c r="E566" s="2">
        <v>1</v>
      </c>
      <c r="F566" s="2">
        <v>572</v>
      </c>
      <c r="G566" s="2">
        <v>0.16</v>
      </c>
    </row>
    <row r="567" spans="1:7" ht="16" x14ac:dyDescent="0.2">
      <c r="A567" s="2" t="s">
        <v>316</v>
      </c>
      <c r="B567" s="2" t="s">
        <v>886</v>
      </c>
      <c r="C567" s="2" t="s">
        <v>1220</v>
      </c>
      <c r="D567" s="2" t="s">
        <v>1221</v>
      </c>
      <c r="E567" s="2">
        <v>1</v>
      </c>
      <c r="F567" s="2">
        <v>371</v>
      </c>
      <c r="G567" s="2">
        <v>0.1</v>
      </c>
    </row>
    <row r="568" spans="1:7" ht="16" x14ac:dyDescent="0.2">
      <c r="A568" s="2" t="s">
        <v>316</v>
      </c>
      <c r="B568" s="2" t="s">
        <v>886</v>
      </c>
      <c r="C568" s="2" t="s">
        <v>1221</v>
      </c>
      <c r="D568" s="2" t="s">
        <v>1222</v>
      </c>
      <c r="E568" s="2">
        <v>1</v>
      </c>
      <c r="F568" s="2">
        <v>0</v>
      </c>
      <c r="G568" s="2">
        <v>0</v>
      </c>
    </row>
    <row r="569" spans="1:7" ht="16" x14ac:dyDescent="0.2">
      <c r="A569" s="2" t="s">
        <v>316</v>
      </c>
      <c r="B569" s="2" t="s">
        <v>886</v>
      </c>
      <c r="C569" s="2" t="s">
        <v>1222</v>
      </c>
      <c r="D569" s="2" t="s">
        <v>1223</v>
      </c>
      <c r="E569" s="2">
        <v>1</v>
      </c>
      <c r="F569" s="2">
        <v>846</v>
      </c>
      <c r="G569" s="2">
        <v>0.23</v>
      </c>
    </row>
    <row r="570" spans="1:7" ht="16" x14ac:dyDescent="0.2">
      <c r="A570" s="2" t="s">
        <v>316</v>
      </c>
      <c r="B570" s="2" t="s">
        <v>886</v>
      </c>
      <c r="C570" s="2" t="s">
        <v>1223</v>
      </c>
      <c r="D570" s="2" t="s">
        <v>1224</v>
      </c>
      <c r="E570" s="2">
        <v>1</v>
      </c>
      <c r="F570" s="2">
        <v>0</v>
      </c>
      <c r="G570" s="2">
        <v>0</v>
      </c>
    </row>
    <row r="571" spans="1:7" ht="16" x14ac:dyDescent="0.2">
      <c r="A571" s="2" t="s">
        <v>316</v>
      </c>
      <c r="B571" s="2" t="s">
        <v>886</v>
      </c>
      <c r="C571" s="2" t="s">
        <v>1224</v>
      </c>
      <c r="D571" s="2" t="s">
        <v>1225</v>
      </c>
      <c r="E571" s="2">
        <v>1</v>
      </c>
      <c r="F571" s="2">
        <v>4</v>
      </c>
      <c r="G571" s="2">
        <v>0</v>
      </c>
    </row>
    <row r="572" spans="1:7" ht="16" x14ac:dyDescent="0.2">
      <c r="A572" s="2" t="s">
        <v>316</v>
      </c>
      <c r="B572" s="2" t="s">
        <v>886</v>
      </c>
      <c r="C572" s="2" t="s">
        <v>1225</v>
      </c>
      <c r="D572" s="2" t="s">
        <v>1226</v>
      </c>
      <c r="E572" s="2">
        <v>1</v>
      </c>
      <c r="F572" s="2">
        <v>0</v>
      </c>
      <c r="G572" s="2">
        <v>0</v>
      </c>
    </row>
    <row r="573" spans="1:7" ht="16" x14ac:dyDescent="0.2">
      <c r="A573" s="2" t="s">
        <v>316</v>
      </c>
      <c r="B573" s="2" t="s">
        <v>886</v>
      </c>
      <c r="C573" s="2" t="s">
        <v>1226</v>
      </c>
      <c r="D573" s="2" t="s">
        <v>1227</v>
      </c>
      <c r="E573" s="2">
        <v>1</v>
      </c>
      <c r="F573" s="2">
        <v>0</v>
      </c>
      <c r="G573" s="2">
        <v>0</v>
      </c>
    </row>
    <row r="574" spans="1:7" ht="16" x14ac:dyDescent="0.2">
      <c r="A574" s="2" t="s">
        <v>316</v>
      </c>
      <c r="B574" s="2" t="s">
        <v>886</v>
      </c>
      <c r="C574" s="2" t="s">
        <v>1227</v>
      </c>
      <c r="D574" s="2" t="s">
        <v>1228</v>
      </c>
      <c r="E574" s="2">
        <v>1</v>
      </c>
      <c r="F574" s="2">
        <v>0</v>
      </c>
      <c r="G574" s="2">
        <v>0</v>
      </c>
    </row>
    <row r="575" spans="1:7" ht="16" x14ac:dyDescent="0.2">
      <c r="A575" s="2" t="s">
        <v>316</v>
      </c>
      <c r="B575" s="2" t="s">
        <v>886</v>
      </c>
      <c r="C575" s="2" t="s">
        <v>1228</v>
      </c>
      <c r="D575" s="2" t="s">
        <v>1229</v>
      </c>
      <c r="E575" s="2">
        <v>1</v>
      </c>
      <c r="F575" s="2">
        <v>0</v>
      </c>
      <c r="G575" s="2">
        <v>0</v>
      </c>
    </row>
    <row r="576" spans="1:7" ht="16" x14ac:dyDescent="0.2">
      <c r="A576" s="2" t="s">
        <v>316</v>
      </c>
      <c r="B576" s="2" t="s">
        <v>886</v>
      </c>
      <c r="C576" s="2" t="s">
        <v>1229</v>
      </c>
      <c r="D576" s="2" t="s">
        <v>1230</v>
      </c>
      <c r="E576" s="2">
        <v>1</v>
      </c>
      <c r="F576" s="2">
        <v>1140</v>
      </c>
      <c r="G576" s="2">
        <v>0.31</v>
      </c>
    </row>
    <row r="577" spans="1:7" ht="16" x14ac:dyDescent="0.2">
      <c r="A577" s="2" t="s">
        <v>316</v>
      </c>
      <c r="B577" s="2" t="s">
        <v>886</v>
      </c>
      <c r="C577" s="2" t="s">
        <v>1230</v>
      </c>
      <c r="D577" s="2" t="s">
        <v>1231</v>
      </c>
      <c r="E577" s="2">
        <v>1</v>
      </c>
      <c r="F577" s="2">
        <v>0</v>
      </c>
      <c r="G577" s="2">
        <v>0</v>
      </c>
    </row>
    <row r="578" spans="1:7" ht="16" x14ac:dyDescent="0.2">
      <c r="A578" s="2" t="s">
        <v>316</v>
      </c>
      <c r="B578" s="2" t="s">
        <v>886</v>
      </c>
      <c r="C578" s="2" t="s">
        <v>1231</v>
      </c>
      <c r="D578" s="2" t="s">
        <v>1232</v>
      </c>
      <c r="E578" s="2">
        <v>1</v>
      </c>
      <c r="F578" s="2">
        <v>0</v>
      </c>
      <c r="G578" s="2">
        <v>0</v>
      </c>
    </row>
    <row r="579" spans="1:7" ht="16" x14ac:dyDescent="0.2">
      <c r="A579" s="2" t="s">
        <v>316</v>
      </c>
      <c r="B579" s="2" t="s">
        <v>886</v>
      </c>
      <c r="C579" s="2" t="s">
        <v>1232</v>
      </c>
      <c r="D579" s="2" t="s">
        <v>1233</v>
      </c>
      <c r="E579" s="2">
        <v>1</v>
      </c>
      <c r="F579" s="2">
        <v>5</v>
      </c>
      <c r="G579" s="2">
        <v>0</v>
      </c>
    </row>
    <row r="580" spans="1:7" ht="16" x14ac:dyDescent="0.2">
      <c r="A580" s="2" t="s">
        <v>316</v>
      </c>
      <c r="B580" s="2" t="s">
        <v>886</v>
      </c>
      <c r="C580" s="2" t="s">
        <v>1233</v>
      </c>
      <c r="D580" s="2" t="s">
        <v>1234</v>
      </c>
      <c r="E580" s="2">
        <v>1</v>
      </c>
      <c r="F580" s="2">
        <v>97</v>
      </c>
      <c r="G580" s="2">
        <v>0.03</v>
      </c>
    </row>
    <row r="581" spans="1:7" ht="16" x14ac:dyDescent="0.2">
      <c r="A581" s="2" t="s">
        <v>316</v>
      </c>
      <c r="B581" s="2" t="s">
        <v>886</v>
      </c>
      <c r="C581" s="2" t="s">
        <v>1234</v>
      </c>
      <c r="D581" s="2" t="s">
        <v>1235</v>
      </c>
      <c r="E581" s="2">
        <v>1</v>
      </c>
      <c r="F581" s="2">
        <v>13</v>
      </c>
      <c r="G581" s="2">
        <v>0</v>
      </c>
    </row>
    <row r="582" spans="1:7" ht="16" x14ac:dyDescent="0.2">
      <c r="A582" s="2" t="s">
        <v>316</v>
      </c>
      <c r="B582" s="2" t="s">
        <v>886</v>
      </c>
      <c r="C582" s="2" t="s">
        <v>1235</v>
      </c>
      <c r="D582" s="2" t="s">
        <v>1236</v>
      </c>
      <c r="E582" s="2">
        <v>1</v>
      </c>
      <c r="F582" s="2">
        <v>0</v>
      </c>
      <c r="G582" s="2">
        <v>0</v>
      </c>
    </row>
    <row r="583" spans="1:7" ht="16" x14ac:dyDescent="0.2">
      <c r="A583" s="2" t="s">
        <v>316</v>
      </c>
      <c r="B583" s="2" t="s">
        <v>886</v>
      </c>
      <c r="C583" s="2" t="s">
        <v>1236</v>
      </c>
      <c r="D583" s="2" t="s">
        <v>1237</v>
      </c>
      <c r="E583" s="2">
        <v>1</v>
      </c>
      <c r="F583" s="2">
        <v>758</v>
      </c>
      <c r="G583" s="2">
        <v>0.21</v>
      </c>
    </row>
    <row r="584" spans="1:7" ht="16" x14ac:dyDescent="0.2">
      <c r="A584" s="2" t="s">
        <v>316</v>
      </c>
      <c r="B584" s="2" t="s">
        <v>886</v>
      </c>
      <c r="C584" s="2" t="s">
        <v>1237</v>
      </c>
      <c r="D584" s="2" t="s">
        <v>1238</v>
      </c>
      <c r="E584" s="2">
        <v>1</v>
      </c>
      <c r="F584" s="2">
        <v>454</v>
      </c>
      <c r="G584" s="2">
        <v>0.12</v>
      </c>
    </row>
    <row r="585" spans="1:7" ht="16" x14ac:dyDescent="0.2">
      <c r="A585" s="2" t="s">
        <v>316</v>
      </c>
      <c r="B585" s="2" t="s">
        <v>886</v>
      </c>
      <c r="C585" s="2" t="s">
        <v>1238</v>
      </c>
      <c r="D585" s="2" t="s">
        <v>1239</v>
      </c>
      <c r="E585" s="2">
        <v>1</v>
      </c>
      <c r="F585" s="2">
        <v>0</v>
      </c>
      <c r="G585" s="2">
        <v>0</v>
      </c>
    </row>
    <row r="586" spans="1:7" ht="16" x14ac:dyDescent="0.2">
      <c r="A586" s="2" t="s">
        <v>316</v>
      </c>
      <c r="B586" s="2" t="s">
        <v>886</v>
      </c>
      <c r="C586" s="2" t="s">
        <v>1239</v>
      </c>
      <c r="D586" s="2" t="s">
        <v>1240</v>
      </c>
      <c r="E586" s="2">
        <v>1</v>
      </c>
      <c r="F586" s="2">
        <v>0</v>
      </c>
      <c r="G586" s="2">
        <v>0</v>
      </c>
    </row>
    <row r="587" spans="1:7" ht="16" x14ac:dyDescent="0.2">
      <c r="A587" s="2" t="s">
        <v>316</v>
      </c>
      <c r="B587" s="2" t="s">
        <v>886</v>
      </c>
      <c r="C587" s="2" t="s">
        <v>1240</v>
      </c>
      <c r="D587" s="2" t="s">
        <v>1241</v>
      </c>
      <c r="E587" s="2">
        <v>1</v>
      </c>
      <c r="F587" s="2">
        <v>1562</v>
      </c>
      <c r="G587" s="2">
        <v>0.42</v>
      </c>
    </row>
    <row r="588" spans="1:7" ht="16" x14ac:dyDescent="0.2">
      <c r="A588" s="2" t="s">
        <v>316</v>
      </c>
      <c r="B588" s="2" t="s">
        <v>886</v>
      </c>
      <c r="C588" s="2" t="s">
        <v>1241</v>
      </c>
      <c r="D588" s="2" t="s">
        <v>1242</v>
      </c>
      <c r="E588" s="2">
        <v>1</v>
      </c>
      <c r="F588" s="2">
        <v>2426</v>
      </c>
      <c r="G588" s="2">
        <v>0.65</v>
      </c>
    </row>
    <row r="589" spans="1:7" ht="16" x14ac:dyDescent="0.2">
      <c r="A589" s="2" t="s">
        <v>316</v>
      </c>
      <c r="B589" s="2" t="s">
        <v>886</v>
      </c>
      <c r="C589" s="2" t="s">
        <v>1242</v>
      </c>
      <c r="D589" s="2" t="s">
        <v>1243</v>
      </c>
      <c r="E589" s="2">
        <v>1</v>
      </c>
      <c r="F589" s="2">
        <v>5</v>
      </c>
      <c r="G589" s="2">
        <v>0</v>
      </c>
    </row>
    <row r="590" spans="1:7" ht="16" x14ac:dyDescent="0.2">
      <c r="A590" s="2" t="s">
        <v>316</v>
      </c>
      <c r="B590" s="2" t="s">
        <v>886</v>
      </c>
      <c r="C590" s="2" t="s">
        <v>1243</v>
      </c>
      <c r="D590" s="2" t="s">
        <v>1244</v>
      </c>
      <c r="E590" s="2">
        <v>1</v>
      </c>
      <c r="F590" s="2">
        <v>567</v>
      </c>
      <c r="G590" s="2">
        <v>0.15</v>
      </c>
    </row>
    <row r="591" spans="1:7" ht="16" x14ac:dyDescent="0.2">
      <c r="A591" s="2" t="s">
        <v>316</v>
      </c>
      <c r="B591" s="2" t="s">
        <v>886</v>
      </c>
      <c r="C591" s="2" t="s">
        <v>1244</v>
      </c>
      <c r="D591" s="2" t="s">
        <v>1245</v>
      </c>
      <c r="E591" s="2">
        <v>1</v>
      </c>
      <c r="F591" s="2">
        <v>790</v>
      </c>
      <c r="G591" s="2">
        <v>0.21</v>
      </c>
    </row>
    <row r="592" spans="1:7" ht="16" x14ac:dyDescent="0.2">
      <c r="A592" s="2" t="s">
        <v>316</v>
      </c>
      <c r="B592" s="2" t="s">
        <v>886</v>
      </c>
      <c r="C592" s="2" t="s">
        <v>1245</v>
      </c>
      <c r="D592" s="2" t="s">
        <v>1246</v>
      </c>
      <c r="E592" s="2">
        <v>1</v>
      </c>
      <c r="F592" s="2">
        <v>466</v>
      </c>
      <c r="G592" s="2">
        <v>0.12</v>
      </c>
    </row>
    <row r="593" spans="1:7" ht="16" x14ac:dyDescent="0.2">
      <c r="A593" s="2" t="s">
        <v>316</v>
      </c>
      <c r="B593" s="2" t="s">
        <v>886</v>
      </c>
      <c r="C593" s="2" t="s">
        <v>1246</v>
      </c>
      <c r="D593" s="2" t="s">
        <v>1247</v>
      </c>
      <c r="E593" s="2">
        <v>1</v>
      </c>
      <c r="F593" s="2">
        <v>517</v>
      </c>
      <c r="G593" s="2">
        <v>0.14000000000000001</v>
      </c>
    </row>
    <row r="594" spans="1:7" ht="16" x14ac:dyDescent="0.2">
      <c r="A594" s="2" t="s">
        <v>316</v>
      </c>
      <c r="B594" s="2" t="s">
        <v>886</v>
      </c>
      <c r="C594" s="2" t="s">
        <v>1247</v>
      </c>
      <c r="D594" s="2" t="s">
        <v>1248</v>
      </c>
      <c r="E594" s="2">
        <v>1</v>
      </c>
      <c r="F594" s="2">
        <v>32</v>
      </c>
      <c r="G594" s="2">
        <v>0.01</v>
      </c>
    </row>
    <row r="595" spans="1:7" ht="16" x14ac:dyDescent="0.2">
      <c r="A595" s="2" t="s">
        <v>316</v>
      </c>
      <c r="B595" s="2" t="s">
        <v>886</v>
      </c>
      <c r="C595" s="2" t="s">
        <v>1248</v>
      </c>
      <c r="D595" s="2" t="s">
        <v>1249</v>
      </c>
      <c r="E595" s="2">
        <v>1</v>
      </c>
      <c r="F595" s="2">
        <v>0</v>
      </c>
      <c r="G595" s="2">
        <v>0</v>
      </c>
    </row>
    <row r="596" spans="1:7" ht="16" x14ac:dyDescent="0.2">
      <c r="A596" s="2" t="s">
        <v>316</v>
      </c>
      <c r="B596" s="2" t="s">
        <v>886</v>
      </c>
      <c r="C596" s="2" t="s">
        <v>1249</v>
      </c>
      <c r="D596" s="2" t="s">
        <v>1250</v>
      </c>
      <c r="E596" s="2">
        <v>1</v>
      </c>
      <c r="F596" s="2">
        <v>0</v>
      </c>
      <c r="G596" s="2">
        <v>0</v>
      </c>
    </row>
    <row r="597" spans="1:7" ht="16" x14ac:dyDescent="0.2">
      <c r="A597" s="2" t="s">
        <v>316</v>
      </c>
      <c r="B597" s="2" t="s">
        <v>886</v>
      </c>
      <c r="C597" s="2" t="s">
        <v>1250</v>
      </c>
      <c r="D597" s="2" t="s">
        <v>1251</v>
      </c>
      <c r="E597" s="2">
        <v>1</v>
      </c>
      <c r="F597" s="2">
        <v>0</v>
      </c>
      <c r="G597" s="2">
        <v>0</v>
      </c>
    </row>
    <row r="598" spans="1:7" ht="16" x14ac:dyDescent="0.2">
      <c r="A598" s="2" t="s">
        <v>316</v>
      </c>
      <c r="B598" s="2" t="s">
        <v>886</v>
      </c>
      <c r="C598" s="2" t="s">
        <v>1251</v>
      </c>
      <c r="D598" s="2" t="s">
        <v>1252</v>
      </c>
      <c r="E598" s="2">
        <v>1</v>
      </c>
      <c r="F598" s="2">
        <v>0</v>
      </c>
      <c r="G598" s="2">
        <v>0</v>
      </c>
    </row>
    <row r="599" spans="1:7" ht="16" x14ac:dyDescent="0.2">
      <c r="A599" s="2" t="s">
        <v>316</v>
      </c>
      <c r="B599" s="2" t="s">
        <v>886</v>
      </c>
      <c r="C599" s="2" t="s">
        <v>1252</v>
      </c>
      <c r="D599" s="2" t="s">
        <v>1253</v>
      </c>
      <c r="E599" s="2">
        <v>1</v>
      </c>
      <c r="F599" s="2">
        <v>0</v>
      </c>
      <c r="G599" s="2">
        <v>0</v>
      </c>
    </row>
    <row r="600" spans="1:7" ht="16" x14ac:dyDescent="0.2">
      <c r="A600" s="2" t="s">
        <v>316</v>
      </c>
      <c r="B600" s="2" t="s">
        <v>886</v>
      </c>
      <c r="C600" s="2" t="s">
        <v>1253</v>
      </c>
      <c r="D600" s="2" t="s">
        <v>1254</v>
      </c>
      <c r="E600" s="2">
        <v>1</v>
      </c>
      <c r="F600" s="2">
        <v>0</v>
      </c>
      <c r="G600" s="2">
        <v>0</v>
      </c>
    </row>
    <row r="601" spans="1:7" ht="16" x14ac:dyDescent="0.2">
      <c r="A601" s="2" t="s">
        <v>316</v>
      </c>
      <c r="B601" s="2" t="s">
        <v>886</v>
      </c>
      <c r="C601" s="2" t="s">
        <v>1254</v>
      </c>
      <c r="D601" s="2" t="s">
        <v>1255</v>
      </c>
      <c r="E601" s="2">
        <v>1</v>
      </c>
      <c r="F601" s="2">
        <v>0</v>
      </c>
      <c r="G601" s="2">
        <v>0</v>
      </c>
    </row>
    <row r="602" spans="1:7" ht="16" x14ac:dyDescent="0.2">
      <c r="A602" s="2" t="s">
        <v>316</v>
      </c>
      <c r="B602" s="2" t="s">
        <v>886</v>
      </c>
      <c r="C602" s="2" t="s">
        <v>1255</v>
      </c>
      <c r="D602" s="2" t="s">
        <v>1256</v>
      </c>
      <c r="E602" s="2">
        <v>1</v>
      </c>
      <c r="F602" s="2">
        <v>0</v>
      </c>
      <c r="G602" s="2">
        <v>0</v>
      </c>
    </row>
    <row r="603" spans="1:7" ht="16" x14ac:dyDescent="0.2">
      <c r="A603" s="2" t="s">
        <v>316</v>
      </c>
      <c r="B603" s="2" t="s">
        <v>886</v>
      </c>
      <c r="C603" s="2" t="s">
        <v>1256</v>
      </c>
      <c r="D603" s="2" t="s">
        <v>1257</v>
      </c>
      <c r="E603" s="2">
        <v>1</v>
      </c>
      <c r="F603" s="2">
        <v>0</v>
      </c>
      <c r="G603" s="2">
        <v>0</v>
      </c>
    </row>
    <row r="604" spans="1:7" ht="16" x14ac:dyDescent="0.2">
      <c r="A604" s="2" t="s">
        <v>316</v>
      </c>
      <c r="B604" s="2" t="s">
        <v>886</v>
      </c>
      <c r="C604" s="2" t="s">
        <v>1257</v>
      </c>
      <c r="D604" s="2" t="s">
        <v>1258</v>
      </c>
      <c r="E604" s="2">
        <v>1</v>
      </c>
      <c r="F604" s="2">
        <v>0</v>
      </c>
      <c r="G604" s="2">
        <v>0</v>
      </c>
    </row>
    <row r="605" spans="1:7" ht="16" x14ac:dyDescent="0.2">
      <c r="A605" s="2" t="s">
        <v>316</v>
      </c>
      <c r="B605" s="2" t="s">
        <v>886</v>
      </c>
      <c r="C605" s="2" t="s">
        <v>1258</v>
      </c>
      <c r="D605" s="2" t="s">
        <v>1259</v>
      </c>
      <c r="E605" s="2">
        <v>1</v>
      </c>
      <c r="F605" s="2">
        <v>0</v>
      </c>
      <c r="G605" s="2">
        <v>0</v>
      </c>
    </row>
    <row r="606" spans="1:7" ht="16" x14ac:dyDescent="0.2">
      <c r="A606" s="2" t="s">
        <v>316</v>
      </c>
      <c r="B606" s="2" t="s">
        <v>886</v>
      </c>
      <c r="C606" s="2" t="s">
        <v>1259</v>
      </c>
      <c r="D606" s="2" t="s">
        <v>1260</v>
      </c>
      <c r="E606" s="2">
        <v>1</v>
      </c>
      <c r="F606" s="2">
        <v>0</v>
      </c>
      <c r="G606" s="2">
        <v>0</v>
      </c>
    </row>
    <row r="607" spans="1:7" ht="16" x14ac:dyDescent="0.2">
      <c r="A607" s="2" t="s">
        <v>316</v>
      </c>
      <c r="B607" s="2" t="s">
        <v>886</v>
      </c>
      <c r="C607" s="2" t="s">
        <v>1260</v>
      </c>
      <c r="D607" s="2" t="s">
        <v>1261</v>
      </c>
      <c r="E607" s="2">
        <v>1</v>
      </c>
      <c r="F607" s="2">
        <v>0</v>
      </c>
      <c r="G607" s="2">
        <v>0</v>
      </c>
    </row>
    <row r="608" spans="1:7" ht="16" x14ac:dyDescent="0.2">
      <c r="A608" s="2" t="s">
        <v>316</v>
      </c>
      <c r="B608" s="2" t="s">
        <v>886</v>
      </c>
      <c r="C608" s="2" t="s">
        <v>1261</v>
      </c>
      <c r="D608" s="2" t="s">
        <v>1262</v>
      </c>
      <c r="E608" s="2">
        <v>1</v>
      </c>
      <c r="F608" s="2">
        <v>0</v>
      </c>
      <c r="G608" s="2">
        <v>0</v>
      </c>
    </row>
    <row r="609" spans="1:7" ht="16" x14ac:dyDescent="0.2">
      <c r="A609" s="2" t="s">
        <v>316</v>
      </c>
      <c r="B609" s="2" t="s">
        <v>886</v>
      </c>
      <c r="C609" s="2" t="s">
        <v>1262</v>
      </c>
      <c r="D609" s="2" t="s">
        <v>1263</v>
      </c>
      <c r="E609" s="2">
        <v>1</v>
      </c>
      <c r="F609" s="2">
        <v>0</v>
      </c>
      <c r="G609" s="2">
        <v>0</v>
      </c>
    </row>
    <row r="610" spans="1:7" ht="16" x14ac:dyDescent="0.2">
      <c r="A610" s="2" t="s">
        <v>316</v>
      </c>
      <c r="B610" s="2" t="s">
        <v>886</v>
      </c>
      <c r="C610" s="2" t="s">
        <v>1263</v>
      </c>
      <c r="D610" s="2" t="s">
        <v>1264</v>
      </c>
      <c r="E610" s="2">
        <v>1</v>
      </c>
      <c r="F610" s="2">
        <v>0</v>
      </c>
      <c r="G610" s="2">
        <v>0</v>
      </c>
    </row>
    <row r="611" spans="1:7" ht="16" x14ac:dyDescent="0.2">
      <c r="A611" s="2" t="s">
        <v>316</v>
      </c>
      <c r="B611" s="2" t="s">
        <v>886</v>
      </c>
      <c r="C611" s="2" t="s">
        <v>1264</v>
      </c>
      <c r="D611" s="2" t="s">
        <v>1265</v>
      </c>
      <c r="E611" s="2">
        <v>1</v>
      </c>
      <c r="F611" s="2">
        <v>0</v>
      </c>
      <c r="G611" s="2">
        <v>0</v>
      </c>
    </row>
    <row r="612" spans="1:7" ht="16" x14ac:dyDescent="0.2">
      <c r="A612" s="2" t="s">
        <v>316</v>
      </c>
      <c r="B612" s="2" t="s">
        <v>886</v>
      </c>
      <c r="C612" s="2" t="s">
        <v>1265</v>
      </c>
      <c r="D612" s="2" t="s">
        <v>1266</v>
      </c>
      <c r="E612" s="2">
        <v>1</v>
      </c>
      <c r="F612" s="2">
        <v>0</v>
      </c>
      <c r="G612" s="2">
        <v>0</v>
      </c>
    </row>
    <row r="613" spans="1:7" ht="16" x14ac:dyDescent="0.2">
      <c r="A613" s="2" t="s">
        <v>316</v>
      </c>
      <c r="B613" s="2" t="s">
        <v>886</v>
      </c>
      <c r="C613" s="2" t="s">
        <v>1266</v>
      </c>
      <c r="D613" s="2" t="s">
        <v>1267</v>
      </c>
      <c r="E613" s="2">
        <v>1</v>
      </c>
      <c r="F613" s="2">
        <v>0</v>
      </c>
      <c r="G613" s="2">
        <v>0</v>
      </c>
    </row>
    <row r="614" spans="1:7" ht="16" x14ac:dyDescent="0.2">
      <c r="A614" s="2" t="s">
        <v>316</v>
      </c>
      <c r="B614" s="2" t="s">
        <v>886</v>
      </c>
      <c r="C614" s="2" t="s">
        <v>1267</v>
      </c>
      <c r="D614" s="2" t="s">
        <v>1268</v>
      </c>
      <c r="E614" s="2">
        <v>1</v>
      </c>
      <c r="F614" s="2">
        <v>1352</v>
      </c>
      <c r="G614" s="2">
        <v>0.36</v>
      </c>
    </row>
    <row r="615" spans="1:7" ht="16" x14ac:dyDescent="0.2">
      <c r="A615" s="2" t="s">
        <v>316</v>
      </c>
      <c r="B615" s="2" t="s">
        <v>886</v>
      </c>
      <c r="C615" s="2" t="s">
        <v>1268</v>
      </c>
      <c r="D615" s="2" t="s">
        <v>1269</v>
      </c>
      <c r="E615" s="2">
        <v>1</v>
      </c>
      <c r="F615" s="2">
        <v>505</v>
      </c>
      <c r="G615" s="2">
        <v>0.13</v>
      </c>
    </row>
    <row r="616" spans="1:7" ht="16" x14ac:dyDescent="0.2">
      <c r="A616" s="2" t="s">
        <v>316</v>
      </c>
      <c r="B616" s="2" t="s">
        <v>886</v>
      </c>
      <c r="C616" s="2" t="s">
        <v>1269</v>
      </c>
      <c r="D616" s="2" t="s">
        <v>1270</v>
      </c>
      <c r="E616" s="2">
        <v>1</v>
      </c>
      <c r="F616" s="2">
        <v>457</v>
      </c>
      <c r="G616" s="2">
        <v>0.12</v>
      </c>
    </row>
    <row r="617" spans="1:7" ht="16" x14ac:dyDescent="0.2">
      <c r="A617" s="2" t="s">
        <v>316</v>
      </c>
      <c r="B617" s="2" t="s">
        <v>886</v>
      </c>
      <c r="C617" s="2" t="s">
        <v>1270</v>
      </c>
      <c r="D617" s="2" t="s">
        <v>1271</v>
      </c>
      <c r="E617" s="2">
        <v>1</v>
      </c>
      <c r="F617" s="2">
        <v>315</v>
      </c>
      <c r="G617" s="2">
        <v>0.08</v>
      </c>
    </row>
    <row r="618" spans="1:7" ht="16" x14ac:dyDescent="0.2">
      <c r="A618" s="2" t="s">
        <v>316</v>
      </c>
      <c r="B618" s="2" t="s">
        <v>886</v>
      </c>
      <c r="C618" s="2" t="s">
        <v>1271</v>
      </c>
      <c r="D618" s="2" t="s">
        <v>1272</v>
      </c>
      <c r="E618" s="2">
        <v>1</v>
      </c>
      <c r="F618" s="2">
        <v>0</v>
      </c>
      <c r="G618" s="2">
        <v>0</v>
      </c>
    </row>
    <row r="619" spans="1:7" ht="16" x14ac:dyDescent="0.2">
      <c r="A619" s="2" t="s">
        <v>316</v>
      </c>
      <c r="B619" s="2" t="s">
        <v>886</v>
      </c>
      <c r="C619" s="2" t="s">
        <v>1272</v>
      </c>
      <c r="D619" s="2" t="s">
        <v>1273</v>
      </c>
      <c r="E619" s="2">
        <v>1</v>
      </c>
      <c r="F619" s="2">
        <v>10</v>
      </c>
      <c r="G619" s="2">
        <v>0</v>
      </c>
    </row>
    <row r="620" spans="1:7" ht="16" x14ac:dyDescent="0.2">
      <c r="A620" s="2" t="s">
        <v>316</v>
      </c>
      <c r="B620" s="2" t="s">
        <v>886</v>
      </c>
      <c r="C620" s="2" t="s">
        <v>1273</v>
      </c>
      <c r="D620" s="2" t="s">
        <v>1274</v>
      </c>
      <c r="E620" s="2">
        <v>1</v>
      </c>
      <c r="F620" s="2">
        <v>0</v>
      </c>
      <c r="G620" s="2">
        <v>0</v>
      </c>
    </row>
    <row r="621" spans="1:7" ht="16" x14ac:dyDescent="0.2">
      <c r="A621" s="2" t="s">
        <v>316</v>
      </c>
      <c r="B621" s="2" t="s">
        <v>886</v>
      </c>
      <c r="C621" s="2" t="s">
        <v>1274</v>
      </c>
      <c r="D621" s="2" t="s">
        <v>1275</v>
      </c>
      <c r="E621" s="2">
        <v>1</v>
      </c>
      <c r="F621" s="2">
        <v>0</v>
      </c>
      <c r="G621" s="2">
        <v>0</v>
      </c>
    </row>
    <row r="622" spans="1:7" ht="16" x14ac:dyDescent="0.2">
      <c r="A622" s="2" t="s">
        <v>316</v>
      </c>
      <c r="B622" s="2" t="s">
        <v>886</v>
      </c>
      <c r="C622" s="2" t="s">
        <v>1275</v>
      </c>
      <c r="D622" s="2" t="s">
        <v>1276</v>
      </c>
      <c r="E622" s="2">
        <v>1</v>
      </c>
      <c r="F622" s="2">
        <v>0</v>
      </c>
      <c r="G622" s="2">
        <v>0</v>
      </c>
    </row>
    <row r="623" spans="1:7" ht="16" x14ac:dyDescent="0.2">
      <c r="A623" s="2" t="s">
        <v>316</v>
      </c>
      <c r="B623" s="2" t="s">
        <v>886</v>
      </c>
      <c r="C623" s="2" t="s">
        <v>1276</v>
      </c>
      <c r="D623" s="2" t="s">
        <v>1277</v>
      </c>
      <c r="E623" s="2">
        <v>1</v>
      </c>
      <c r="F623" s="2">
        <v>0</v>
      </c>
      <c r="G623" s="2">
        <v>0</v>
      </c>
    </row>
    <row r="624" spans="1:7" ht="16" x14ac:dyDescent="0.2">
      <c r="A624" s="2" t="s">
        <v>316</v>
      </c>
      <c r="B624" s="2" t="s">
        <v>886</v>
      </c>
      <c r="C624" s="2" t="s">
        <v>1277</v>
      </c>
      <c r="D624" s="2" t="s">
        <v>1278</v>
      </c>
      <c r="E624" s="2">
        <v>1</v>
      </c>
      <c r="F624" s="2">
        <v>0</v>
      </c>
      <c r="G624" s="2">
        <v>0</v>
      </c>
    </row>
    <row r="625" spans="1:7" ht="16" x14ac:dyDescent="0.2">
      <c r="A625" s="2" t="s">
        <v>316</v>
      </c>
      <c r="B625" s="2" t="s">
        <v>886</v>
      </c>
      <c r="C625" s="2" t="s">
        <v>1278</v>
      </c>
      <c r="D625" s="2" t="s">
        <v>1279</v>
      </c>
      <c r="E625" s="2">
        <v>1</v>
      </c>
      <c r="F625" s="2">
        <v>0</v>
      </c>
      <c r="G625" s="2">
        <v>0</v>
      </c>
    </row>
    <row r="626" spans="1:7" ht="16" x14ac:dyDescent="0.2">
      <c r="A626" s="2" t="s">
        <v>316</v>
      </c>
      <c r="B626" s="2" t="s">
        <v>886</v>
      </c>
      <c r="C626" s="2" t="s">
        <v>1279</v>
      </c>
      <c r="D626" s="2" t="s">
        <v>1280</v>
      </c>
      <c r="E626" s="2">
        <v>1</v>
      </c>
      <c r="F626" s="2">
        <v>475</v>
      </c>
      <c r="G626" s="2">
        <v>0.13</v>
      </c>
    </row>
    <row r="627" spans="1:7" ht="16" x14ac:dyDescent="0.2">
      <c r="A627" s="2" t="s">
        <v>316</v>
      </c>
      <c r="B627" s="2" t="s">
        <v>886</v>
      </c>
      <c r="C627" s="2" t="s">
        <v>1280</v>
      </c>
      <c r="D627" s="2" t="s">
        <v>1281</v>
      </c>
      <c r="E627" s="2">
        <v>1</v>
      </c>
      <c r="F627" s="2">
        <v>0</v>
      </c>
      <c r="G627" s="2">
        <v>0</v>
      </c>
    </row>
    <row r="628" spans="1:7" ht="16" x14ac:dyDescent="0.2">
      <c r="A628" s="2" t="s">
        <v>316</v>
      </c>
      <c r="B628" s="2" t="s">
        <v>886</v>
      </c>
      <c r="C628" s="2" t="s">
        <v>1281</v>
      </c>
      <c r="D628" s="2" t="s">
        <v>1282</v>
      </c>
      <c r="E628" s="2">
        <v>1</v>
      </c>
      <c r="F628" s="2">
        <v>2</v>
      </c>
      <c r="G628" s="2">
        <v>0</v>
      </c>
    </row>
    <row r="629" spans="1:7" ht="16" x14ac:dyDescent="0.2">
      <c r="A629" s="2" t="s">
        <v>316</v>
      </c>
      <c r="B629" s="2" t="s">
        <v>886</v>
      </c>
      <c r="C629" s="2" t="s">
        <v>1282</v>
      </c>
      <c r="D629" s="2" t="s">
        <v>1283</v>
      </c>
      <c r="E629" s="2">
        <v>1</v>
      </c>
      <c r="F629" s="2">
        <v>0</v>
      </c>
      <c r="G629" s="2">
        <v>0</v>
      </c>
    </row>
    <row r="630" spans="1:7" ht="16" x14ac:dyDescent="0.2">
      <c r="A630" s="2" t="s">
        <v>316</v>
      </c>
      <c r="B630" s="2" t="s">
        <v>886</v>
      </c>
      <c r="C630" s="2" t="s">
        <v>1283</v>
      </c>
      <c r="D630" s="2" t="s">
        <v>1284</v>
      </c>
      <c r="E630" s="2">
        <v>1</v>
      </c>
      <c r="F630" s="2">
        <v>0</v>
      </c>
      <c r="G630" s="2">
        <v>0</v>
      </c>
    </row>
    <row r="631" spans="1:7" ht="16" x14ac:dyDescent="0.2">
      <c r="A631" s="2" t="s">
        <v>316</v>
      </c>
      <c r="B631" s="2" t="s">
        <v>886</v>
      </c>
      <c r="C631" s="2" t="s">
        <v>1284</v>
      </c>
      <c r="D631" s="2" t="s">
        <v>1285</v>
      </c>
      <c r="E631" s="2">
        <v>1</v>
      </c>
      <c r="F631" s="2">
        <v>0</v>
      </c>
      <c r="G631" s="2">
        <v>0</v>
      </c>
    </row>
    <row r="632" spans="1:7" ht="16" x14ac:dyDescent="0.2">
      <c r="A632" s="2" t="s">
        <v>316</v>
      </c>
      <c r="B632" s="2" t="s">
        <v>886</v>
      </c>
      <c r="C632" s="2" t="s">
        <v>1285</v>
      </c>
      <c r="D632" s="2" t="s">
        <v>1286</v>
      </c>
      <c r="E632" s="2">
        <v>1</v>
      </c>
      <c r="F632" s="2">
        <v>0</v>
      </c>
      <c r="G632" s="2">
        <v>0</v>
      </c>
    </row>
    <row r="633" spans="1:7" ht="16" x14ac:dyDescent="0.2">
      <c r="A633" s="2" t="s">
        <v>316</v>
      </c>
      <c r="B633" s="2" t="s">
        <v>886</v>
      </c>
      <c r="C633" s="2" t="s">
        <v>1286</v>
      </c>
      <c r="D633" s="2" t="s">
        <v>1287</v>
      </c>
      <c r="E633" s="2">
        <v>1</v>
      </c>
      <c r="F633" s="2">
        <v>0</v>
      </c>
      <c r="G633" s="2">
        <v>0</v>
      </c>
    </row>
    <row r="634" spans="1:7" ht="16" x14ac:dyDescent="0.2">
      <c r="A634" s="2" t="s">
        <v>316</v>
      </c>
      <c r="B634" s="2" t="s">
        <v>886</v>
      </c>
      <c r="C634" s="2" t="s">
        <v>1287</v>
      </c>
      <c r="D634" s="2" t="s">
        <v>1288</v>
      </c>
      <c r="E634" s="2">
        <v>1</v>
      </c>
      <c r="F634" s="2">
        <v>0</v>
      </c>
      <c r="G634" s="2">
        <v>0</v>
      </c>
    </row>
    <row r="635" spans="1:7" ht="16" x14ac:dyDescent="0.2">
      <c r="A635" s="2" t="s">
        <v>316</v>
      </c>
      <c r="B635" s="2" t="s">
        <v>886</v>
      </c>
      <c r="C635" s="2" t="s">
        <v>1288</v>
      </c>
      <c r="D635" s="2" t="s">
        <v>1289</v>
      </c>
      <c r="E635" s="2">
        <v>1</v>
      </c>
      <c r="F635" s="2">
        <v>0</v>
      </c>
      <c r="G635" s="2">
        <v>0</v>
      </c>
    </row>
    <row r="636" spans="1:7" ht="16" x14ac:dyDescent="0.2">
      <c r="A636" s="2" t="s">
        <v>316</v>
      </c>
      <c r="B636" s="2" t="s">
        <v>886</v>
      </c>
      <c r="C636" s="2" t="s">
        <v>1289</v>
      </c>
      <c r="D636" s="2" t="s">
        <v>1290</v>
      </c>
      <c r="E636" s="2">
        <v>1</v>
      </c>
      <c r="F636" s="2">
        <v>0</v>
      </c>
      <c r="G636" s="2">
        <v>0</v>
      </c>
    </row>
    <row r="637" spans="1:7" ht="16" x14ac:dyDescent="0.2">
      <c r="A637" s="2" t="s">
        <v>316</v>
      </c>
      <c r="B637" s="2" t="s">
        <v>886</v>
      </c>
      <c r="C637" s="2" t="s">
        <v>1290</v>
      </c>
      <c r="D637" s="2" t="s">
        <v>1291</v>
      </c>
      <c r="E637" s="2">
        <v>1</v>
      </c>
      <c r="F637" s="2">
        <v>748</v>
      </c>
      <c r="G637" s="2">
        <v>0.2</v>
      </c>
    </row>
    <row r="638" spans="1:7" ht="16" x14ac:dyDescent="0.2">
      <c r="A638" s="2" t="s">
        <v>316</v>
      </c>
      <c r="B638" s="2" t="s">
        <v>886</v>
      </c>
      <c r="C638" s="2" t="s">
        <v>1291</v>
      </c>
      <c r="D638" s="2" t="s">
        <v>1292</v>
      </c>
      <c r="E638" s="2">
        <v>1</v>
      </c>
      <c r="F638" s="2">
        <v>10</v>
      </c>
      <c r="G638" s="2">
        <v>0</v>
      </c>
    </row>
    <row r="639" spans="1:7" ht="16" x14ac:dyDescent="0.2">
      <c r="A639" s="2" t="s">
        <v>316</v>
      </c>
      <c r="B639" s="2" t="s">
        <v>886</v>
      </c>
      <c r="C639" s="2" t="s">
        <v>1292</v>
      </c>
      <c r="D639" s="2" t="s">
        <v>1293</v>
      </c>
      <c r="E639" s="2">
        <v>1</v>
      </c>
      <c r="F639" s="2">
        <v>8</v>
      </c>
      <c r="G639" s="2">
        <v>0</v>
      </c>
    </row>
    <row r="640" spans="1:7" ht="16" x14ac:dyDescent="0.2">
      <c r="A640" s="2" t="s">
        <v>316</v>
      </c>
      <c r="B640" s="2" t="s">
        <v>886</v>
      </c>
      <c r="C640" s="2" t="s">
        <v>1293</v>
      </c>
      <c r="D640" s="2" t="s">
        <v>1294</v>
      </c>
      <c r="E640" s="2">
        <v>1</v>
      </c>
      <c r="F640" s="2">
        <v>422</v>
      </c>
      <c r="G640" s="2">
        <v>0.11</v>
      </c>
    </row>
    <row r="641" spans="1:7" ht="16" x14ac:dyDescent="0.2">
      <c r="A641" s="2" t="s">
        <v>316</v>
      </c>
      <c r="B641" s="2" t="s">
        <v>886</v>
      </c>
      <c r="C641" s="2" t="s">
        <v>1294</v>
      </c>
      <c r="D641" s="2" t="s">
        <v>1295</v>
      </c>
      <c r="E641" s="2">
        <v>1</v>
      </c>
      <c r="F641" s="2">
        <v>12</v>
      </c>
      <c r="G641" s="2">
        <v>0</v>
      </c>
    </row>
    <row r="642" spans="1:7" ht="16" x14ac:dyDescent="0.2">
      <c r="A642" s="2" t="s">
        <v>316</v>
      </c>
      <c r="B642" s="2" t="s">
        <v>886</v>
      </c>
      <c r="C642" s="2" t="s">
        <v>1295</v>
      </c>
      <c r="D642" s="2" t="s">
        <v>1296</v>
      </c>
      <c r="E642" s="2">
        <v>1</v>
      </c>
      <c r="F642" s="2">
        <v>0</v>
      </c>
      <c r="G642" s="2">
        <v>0</v>
      </c>
    </row>
    <row r="643" spans="1:7" ht="16" x14ac:dyDescent="0.2">
      <c r="A643" s="2" t="s">
        <v>316</v>
      </c>
      <c r="B643" s="2" t="s">
        <v>886</v>
      </c>
      <c r="C643" s="2" t="s">
        <v>1296</v>
      </c>
      <c r="D643" s="2" t="s">
        <v>1297</v>
      </c>
      <c r="E643" s="2">
        <v>1</v>
      </c>
      <c r="F643" s="2">
        <v>0</v>
      </c>
      <c r="G643" s="2">
        <v>0</v>
      </c>
    </row>
    <row r="644" spans="1:7" ht="16" x14ac:dyDescent="0.2">
      <c r="A644" s="2" t="s">
        <v>316</v>
      </c>
      <c r="B644" s="2" t="s">
        <v>886</v>
      </c>
      <c r="C644" s="2" t="s">
        <v>1297</v>
      </c>
      <c r="D644" s="2" t="s">
        <v>1298</v>
      </c>
      <c r="E644" s="2">
        <v>1</v>
      </c>
      <c r="F644" s="2">
        <v>0</v>
      </c>
      <c r="G644" s="2">
        <v>0</v>
      </c>
    </row>
    <row r="645" spans="1:7" ht="16" x14ac:dyDescent="0.2">
      <c r="A645" s="2" t="s">
        <v>316</v>
      </c>
      <c r="B645" s="2" t="s">
        <v>886</v>
      </c>
      <c r="C645" s="2" t="s">
        <v>1298</v>
      </c>
      <c r="D645" s="2" t="s">
        <v>1299</v>
      </c>
      <c r="E645" s="2">
        <v>1</v>
      </c>
      <c r="F645" s="2">
        <v>0</v>
      </c>
      <c r="G645" s="2">
        <v>0</v>
      </c>
    </row>
    <row r="646" spans="1:7" ht="16" x14ac:dyDescent="0.2">
      <c r="A646" s="2" t="s">
        <v>316</v>
      </c>
      <c r="B646" s="2" t="s">
        <v>886</v>
      </c>
      <c r="C646" s="2" t="s">
        <v>1299</v>
      </c>
      <c r="D646" s="2" t="s">
        <v>1300</v>
      </c>
      <c r="E646" s="2">
        <v>1</v>
      </c>
      <c r="F646" s="2">
        <v>0</v>
      </c>
      <c r="G646" s="2">
        <v>0</v>
      </c>
    </row>
    <row r="647" spans="1:7" ht="16" x14ac:dyDescent="0.2">
      <c r="A647" s="2" t="s">
        <v>316</v>
      </c>
      <c r="B647" s="2" t="s">
        <v>886</v>
      </c>
      <c r="C647" s="2" t="s">
        <v>1300</v>
      </c>
      <c r="D647" s="2" t="s">
        <v>1301</v>
      </c>
      <c r="E647" s="2">
        <v>1</v>
      </c>
      <c r="F647" s="2">
        <v>0</v>
      </c>
      <c r="G647" s="2">
        <v>0</v>
      </c>
    </row>
    <row r="648" spans="1:7" ht="16" x14ac:dyDescent="0.2">
      <c r="A648" s="2" t="s">
        <v>316</v>
      </c>
      <c r="B648" s="2" t="s">
        <v>886</v>
      </c>
      <c r="C648" s="2" t="s">
        <v>1301</v>
      </c>
      <c r="D648" s="2" t="s">
        <v>1302</v>
      </c>
      <c r="E648" s="2">
        <v>1</v>
      </c>
      <c r="F648" s="2">
        <v>0</v>
      </c>
      <c r="G648" s="2">
        <v>0</v>
      </c>
    </row>
    <row r="649" spans="1:7" ht="16" x14ac:dyDescent="0.2">
      <c r="A649" s="2" t="s">
        <v>316</v>
      </c>
      <c r="B649" s="2" t="s">
        <v>886</v>
      </c>
      <c r="C649" s="2" t="s">
        <v>1302</v>
      </c>
      <c r="D649" s="2" t="s">
        <v>1303</v>
      </c>
      <c r="E649" s="2">
        <v>1</v>
      </c>
      <c r="F649" s="2">
        <v>0</v>
      </c>
      <c r="G649" s="2">
        <v>0</v>
      </c>
    </row>
    <row r="650" spans="1:7" ht="16" x14ac:dyDescent="0.2">
      <c r="A650" s="2" t="s">
        <v>316</v>
      </c>
      <c r="B650" s="2" t="s">
        <v>886</v>
      </c>
      <c r="C650" s="2" t="s">
        <v>1303</v>
      </c>
      <c r="D650" s="2" t="s">
        <v>1304</v>
      </c>
      <c r="E650" s="2">
        <v>1</v>
      </c>
      <c r="F650" s="2">
        <v>0</v>
      </c>
      <c r="G650" s="2">
        <v>0</v>
      </c>
    </row>
    <row r="651" spans="1:7" ht="16" x14ac:dyDescent="0.2">
      <c r="A651" s="2" t="s">
        <v>316</v>
      </c>
      <c r="B651" s="2" t="s">
        <v>886</v>
      </c>
      <c r="C651" s="2" t="s">
        <v>1304</v>
      </c>
      <c r="D651" s="2" t="s">
        <v>1305</v>
      </c>
      <c r="E651" s="2">
        <v>1</v>
      </c>
      <c r="F651" s="2">
        <v>0</v>
      </c>
      <c r="G651" s="2">
        <v>0</v>
      </c>
    </row>
    <row r="652" spans="1:7" ht="16" x14ac:dyDescent="0.2">
      <c r="A652" s="2" t="s">
        <v>316</v>
      </c>
      <c r="B652" s="2" t="s">
        <v>886</v>
      </c>
      <c r="C652" s="2" t="s">
        <v>1305</v>
      </c>
      <c r="D652" s="2" t="s">
        <v>1306</v>
      </c>
      <c r="E652" s="2">
        <v>1</v>
      </c>
      <c r="F652" s="2">
        <v>0</v>
      </c>
      <c r="G652" s="2">
        <v>0</v>
      </c>
    </row>
    <row r="653" spans="1:7" ht="16" x14ac:dyDescent="0.2">
      <c r="A653" s="2" t="s">
        <v>316</v>
      </c>
      <c r="B653" s="2" t="s">
        <v>886</v>
      </c>
      <c r="C653" s="2" t="s">
        <v>1306</v>
      </c>
      <c r="D653" s="2" t="s">
        <v>1307</v>
      </c>
      <c r="E653" s="2">
        <v>1</v>
      </c>
      <c r="F653" s="2">
        <v>0</v>
      </c>
      <c r="G653" s="2">
        <v>0</v>
      </c>
    </row>
    <row r="654" spans="1:7" ht="16" x14ac:dyDescent="0.2">
      <c r="A654" s="2" t="s">
        <v>316</v>
      </c>
      <c r="B654" s="2" t="s">
        <v>886</v>
      </c>
      <c r="C654" s="2" t="s">
        <v>1307</v>
      </c>
      <c r="D654" s="2" t="s">
        <v>1308</v>
      </c>
      <c r="E654" s="2">
        <v>1</v>
      </c>
      <c r="F654" s="2">
        <v>0</v>
      </c>
      <c r="G654" s="2">
        <v>0</v>
      </c>
    </row>
    <row r="655" spans="1:7" ht="16" x14ac:dyDescent="0.2">
      <c r="A655" s="2" t="s">
        <v>316</v>
      </c>
      <c r="B655" s="2" t="s">
        <v>886</v>
      </c>
      <c r="C655" s="2" t="s">
        <v>1308</v>
      </c>
      <c r="D655" s="2" t="s">
        <v>1309</v>
      </c>
      <c r="E655" s="2">
        <v>1</v>
      </c>
      <c r="F655" s="2">
        <v>0</v>
      </c>
      <c r="G655" s="2">
        <v>0</v>
      </c>
    </row>
    <row r="656" spans="1:7" ht="16" x14ac:dyDescent="0.2">
      <c r="A656" s="2" t="s">
        <v>316</v>
      </c>
      <c r="B656" s="2" t="s">
        <v>886</v>
      </c>
      <c r="C656" s="2" t="s">
        <v>1309</v>
      </c>
      <c r="D656" s="2" t="s">
        <v>1310</v>
      </c>
      <c r="E656" s="2">
        <v>1</v>
      </c>
      <c r="F656" s="2">
        <v>0</v>
      </c>
      <c r="G656" s="2">
        <v>0</v>
      </c>
    </row>
    <row r="657" spans="1:7" ht="16" x14ac:dyDescent="0.2">
      <c r="A657" s="2" t="s">
        <v>316</v>
      </c>
      <c r="B657" s="2" t="s">
        <v>886</v>
      </c>
      <c r="C657" s="2" t="s">
        <v>1310</v>
      </c>
      <c r="D657" s="2" t="s">
        <v>1311</v>
      </c>
      <c r="E657" s="2">
        <v>1</v>
      </c>
      <c r="F657" s="2">
        <v>0</v>
      </c>
      <c r="G657" s="2">
        <v>0</v>
      </c>
    </row>
    <row r="658" spans="1:7" ht="16" x14ac:dyDescent="0.2">
      <c r="A658" s="2" t="s">
        <v>316</v>
      </c>
      <c r="B658" s="2" t="s">
        <v>886</v>
      </c>
      <c r="C658" s="2" t="s">
        <v>1311</v>
      </c>
      <c r="D658" s="2" t="s">
        <v>1312</v>
      </c>
      <c r="E658" s="2">
        <v>1</v>
      </c>
      <c r="F658" s="2">
        <v>286</v>
      </c>
      <c r="G658" s="2">
        <v>0.08</v>
      </c>
    </row>
    <row r="659" spans="1:7" ht="16" x14ac:dyDescent="0.2">
      <c r="A659" s="2" t="s">
        <v>316</v>
      </c>
      <c r="B659" s="2" t="s">
        <v>886</v>
      </c>
      <c r="C659" s="2" t="s">
        <v>1312</v>
      </c>
      <c r="D659" s="2" t="s">
        <v>1313</v>
      </c>
      <c r="E659" s="2">
        <v>1</v>
      </c>
      <c r="F659" s="2">
        <v>-63</v>
      </c>
      <c r="G659" s="2">
        <v>-0.02</v>
      </c>
    </row>
    <row r="660" spans="1:7" ht="16" x14ac:dyDescent="0.2">
      <c r="A660" s="2" t="s">
        <v>316</v>
      </c>
      <c r="B660" s="2" t="s">
        <v>886</v>
      </c>
      <c r="C660" s="2" t="s">
        <v>1313</v>
      </c>
      <c r="D660" s="2" t="s">
        <v>1314</v>
      </c>
      <c r="E660" s="2">
        <v>1</v>
      </c>
      <c r="F660" s="2">
        <v>284</v>
      </c>
      <c r="G660" s="2">
        <v>7.0000000000000007E-2</v>
      </c>
    </row>
    <row r="661" spans="1:7" ht="16" x14ac:dyDescent="0.2">
      <c r="A661" s="2" t="s">
        <v>316</v>
      </c>
      <c r="B661" s="2" t="s">
        <v>886</v>
      </c>
      <c r="C661" s="2" t="s">
        <v>1314</v>
      </c>
      <c r="D661" s="2" t="s">
        <v>1315</v>
      </c>
      <c r="E661" s="2">
        <v>10</v>
      </c>
      <c r="F661" s="2">
        <v>1187</v>
      </c>
      <c r="G661" s="2">
        <v>0.31</v>
      </c>
    </row>
    <row r="662" spans="1:7" ht="16" x14ac:dyDescent="0.2">
      <c r="A662" s="2" t="s">
        <v>316</v>
      </c>
      <c r="B662" s="2" t="s">
        <v>886</v>
      </c>
      <c r="C662" s="2" t="s">
        <v>1315</v>
      </c>
      <c r="D662" s="2" t="s">
        <v>1316</v>
      </c>
      <c r="E662" s="2">
        <v>12</v>
      </c>
      <c r="F662" s="2">
        <v>-57515</v>
      </c>
      <c r="G662" s="2">
        <v>-17.760000000000002</v>
      </c>
    </row>
    <row r="663" spans="1:7" ht="16" x14ac:dyDescent="0.2">
      <c r="A663" s="2" t="s">
        <v>316</v>
      </c>
      <c r="B663" s="2" t="s">
        <v>886</v>
      </c>
      <c r="C663" s="2" t="s">
        <v>1316</v>
      </c>
      <c r="D663" s="2" t="s">
        <v>1317</v>
      </c>
      <c r="E663" s="2">
        <v>12</v>
      </c>
      <c r="F663" s="2">
        <v>0</v>
      </c>
      <c r="G663" s="2">
        <v>0</v>
      </c>
    </row>
    <row r="664" spans="1:7" ht="16" x14ac:dyDescent="0.2">
      <c r="A664" s="2" t="s">
        <v>316</v>
      </c>
      <c r="B664" s="2" t="s">
        <v>886</v>
      </c>
      <c r="C664" s="2" t="s">
        <v>1317</v>
      </c>
      <c r="D664" s="2" t="s">
        <v>1318</v>
      </c>
      <c r="E664" s="2">
        <v>12</v>
      </c>
      <c r="F664" s="2">
        <v>0</v>
      </c>
      <c r="G664" s="2">
        <v>0</v>
      </c>
    </row>
    <row r="665" spans="1:7" ht="16" x14ac:dyDescent="0.2">
      <c r="A665" s="2" t="s">
        <v>316</v>
      </c>
      <c r="B665" s="2" t="s">
        <v>886</v>
      </c>
      <c r="C665" s="2" t="s">
        <v>1318</v>
      </c>
      <c r="D665" s="2" t="s">
        <v>1319</v>
      </c>
      <c r="E665" s="2">
        <v>12</v>
      </c>
      <c r="F665" s="2">
        <v>0</v>
      </c>
      <c r="G665" s="2">
        <v>0</v>
      </c>
    </row>
    <row r="666" spans="1:7" ht="16" x14ac:dyDescent="0.2">
      <c r="A666" s="2" t="s">
        <v>316</v>
      </c>
      <c r="B666" s="2" t="s">
        <v>886</v>
      </c>
      <c r="C666" s="2" t="s">
        <v>1319</v>
      </c>
      <c r="D666" s="2" t="s">
        <v>1320</v>
      </c>
      <c r="E666" s="2">
        <v>12</v>
      </c>
      <c r="F666" s="2">
        <v>0</v>
      </c>
      <c r="G666" s="2">
        <v>0</v>
      </c>
    </row>
    <row r="667" spans="1:7" ht="16" x14ac:dyDescent="0.2">
      <c r="A667" s="2" t="s">
        <v>316</v>
      </c>
      <c r="B667" s="2" t="s">
        <v>886</v>
      </c>
      <c r="C667" s="2" t="s">
        <v>1320</v>
      </c>
      <c r="D667" s="2" t="s">
        <v>1321</v>
      </c>
      <c r="E667" s="2">
        <v>12</v>
      </c>
      <c r="F667" s="2">
        <v>0</v>
      </c>
      <c r="G667" s="2">
        <v>0</v>
      </c>
    </row>
    <row r="668" spans="1:7" ht="16" x14ac:dyDescent="0.2">
      <c r="A668" s="2" t="s">
        <v>316</v>
      </c>
      <c r="B668" s="2" t="s">
        <v>886</v>
      </c>
      <c r="C668" s="2" t="s">
        <v>1321</v>
      </c>
      <c r="D668" s="2" t="s">
        <v>1322</v>
      </c>
      <c r="E668" s="2">
        <v>12</v>
      </c>
      <c r="F668" s="2">
        <v>0</v>
      </c>
      <c r="G668" s="2">
        <v>0</v>
      </c>
    </row>
    <row r="669" spans="1:7" ht="16" x14ac:dyDescent="0.2">
      <c r="A669" s="2" t="s">
        <v>316</v>
      </c>
      <c r="B669" s="2" t="s">
        <v>803</v>
      </c>
      <c r="C669" s="2" t="s">
        <v>1092</v>
      </c>
      <c r="D669" s="2" t="s">
        <v>1323</v>
      </c>
      <c r="E669" s="2">
        <v>0.25</v>
      </c>
      <c r="F669" s="2">
        <v>13200</v>
      </c>
      <c r="G669" s="2">
        <v>28.56</v>
      </c>
    </row>
    <row r="670" spans="1:7" ht="16" x14ac:dyDescent="0.2">
      <c r="A670" s="2" t="s">
        <v>316</v>
      </c>
      <c r="B670" s="2" t="s">
        <v>803</v>
      </c>
      <c r="C670" s="2" t="s">
        <v>1323</v>
      </c>
      <c r="D670" s="2" t="s">
        <v>1324</v>
      </c>
      <c r="E670" s="2">
        <v>11.25</v>
      </c>
      <c r="F670" s="2">
        <v>77875</v>
      </c>
      <c r="G670" s="2">
        <v>62.75</v>
      </c>
    </row>
    <row r="671" spans="1:7" ht="16" x14ac:dyDescent="0.2">
      <c r="A671" s="2" t="s">
        <v>316</v>
      </c>
      <c r="B671" s="2" t="s">
        <v>803</v>
      </c>
      <c r="C671" s="2" t="s">
        <v>1324</v>
      </c>
      <c r="D671" s="2" t="s">
        <v>1325</v>
      </c>
      <c r="E671" s="2">
        <v>11.75</v>
      </c>
      <c r="F671" s="2">
        <v>6900</v>
      </c>
      <c r="G671" s="2">
        <v>5.27</v>
      </c>
    </row>
    <row r="672" spans="1:7" ht="16" x14ac:dyDescent="0.2">
      <c r="A672" s="2" t="s">
        <v>316</v>
      </c>
      <c r="B672" s="2" t="s">
        <v>803</v>
      </c>
      <c r="C672" s="2" t="s">
        <v>1325</v>
      </c>
      <c r="D672" s="2" t="s">
        <v>1326</v>
      </c>
      <c r="E672" s="2">
        <v>11.5</v>
      </c>
      <c r="F672" s="2">
        <v>84000</v>
      </c>
      <c r="G672" s="2">
        <v>39.07</v>
      </c>
    </row>
    <row r="673" spans="1:7" ht="16" x14ac:dyDescent="0.2">
      <c r="A673" s="2" t="s">
        <v>316</v>
      </c>
      <c r="B673" s="2" t="s">
        <v>803</v>
      </c>
      <c r="C673" s="2" t="s">
        <v>1326</v>
      </c>
      <c r="D673" s="2" t="s">
        <v>1327</v>
      </c>
      <c r="E673" s="2">
        <v>1.75</v>
      </c>
      <c r="F673" s="2">
        <v>0</v>
      </c>
      <c r="G673" s="2">
        <v>0</v>
      </c>
    </row>
    <row r="674" spans="1:7" ht="16" x14ac:dyDescent="0.2">
      <c r="A674" s="2" t="s">
        <v>316</v>
      </c>
      <c r="B674" s="2" t="s">
        <v>803</v>
      </c>
      <c r="C674" s="2" t="s">
        <v>1327</v>
      </c>
      <c r="D674" s="2" t="s">
        <v>1129</v>
      </c>
      <c r="E674" s="2">
        <v>0.5</v>
      </c>
      <c r="F674" s="2">
        <v>0</v>
      </c>
      <c r="G674" s="2">
        <v>0</v>
      </c>
    </row>
    <row r="675" spans="1:7" ht="16" x14ac:dyDescent="0.2">
      <c r="A675" s="2" t="s">
        <v>316</v>
      </c>
      <c r="B675" s="2" t="s">
        <v>803</v>
      </c>
      <c r="C675" s="2" t="s">
        <v>1129</v>
      </c>
      <c r="D675" s="2" t="s">
        <v>1328</v>
      </c>
      <c r="E675" s="2">
        <v>10.5</v>
      </c>
      <c r="F675" s="2">
        <v>4067</v>
      </c>
      <c r="G675" s="2">
        <v>1.86</v>
      </c>
    </row>
    <row r="676" spans="1:7" ht="16" x14ac:dyDescent="0.2">
      <c r="A676" s="2" t="s">
        <v>316</v>
      </c>
      <c r="B676" s="2" t="s">
        <v>803</v>
      </c>
      <c r="C676" s="2" t="s">
        <v>1328</v>
      </c>
      <c r="D676" s="2" t="s">
        <v>1151</v>
      </c>
      <c r="E676" s="2">
        <v>11.5</v>
      </c>
      <c r="F676" s="2">
        <v>83321</v>
      </c>
      <c r="G676" s="2">
        <v>27.55</v>
      </c>
    </row>
    <row r="677" spans="1:7" ht="16" x14ac:dyDescent="0.2">
      <c r="A677" s="2" t="s">
        <v>316</v>
      </c>
      <c r="B677" s="2" t="s">
        <v>803</v>
      </c>
      <c r="C677" s="2" t="s">
        <v>1151</v>
      </c>
      <c r="D677" s="2" t="s">
        <v>1164</v>
      </c>
      <c r="E677" s="2">
        <v>13</v>
      </c>
      <c r="F677" s="2">
        <v>11819</v>
      </c>
      <c r="G677" s="2">
        <v>3.76</v>
      </c>
    </row>
    <row r="678" spans="1:7" ht="16" x14ac:dyDescent="0.2">
      <c r="A678" s="2" t="s">
        <v>316</v>
      </c>
      <c r="B678" s="2" t="s">
        <v>803</v>
      </c>
      <c r="C678" s="2" t="s">
        <v>1164</v>
      </c>
      <c r="D678" s="2" t="s">
        <v>1329</v>
      </c>
      <c r="E678" s="2">
        <v>11.5</v>
      </c>
      <c r="F678" s="2">
        <v>10921</v>
      </c>
      <c r="G678" s="2">
        <v>3.36</v>
      </c>
    </row>
    <row r="679" spans="1:7" ht="16" x14ac:dyDescent="0.2">
      <c r="A679" s="2" t="s">
        <v>316</v>
      </c>
      <c r="B679" s="2" t="s">
        <v>803</v>
      </c>
      <c r="C679" s="2" t="s">
        <v>1329</v>
      </c>
      <c r="D679" s="2" t="s">
        <v>1330</v>
      </c>
      <c r="E679" s="2">
        <v>11.75</v>
      </c>
      <c r="F679" s="2">
        <v>16115</v>
      </c>
      <c r="G679" s="2">
        <v>4.72</v>
      </c>
    </row>
    <row r="680" spans="1:7" ht="16" x14ac:dyDescent="0.2">
      <c r="A680" s="2" t="s">
        <v>316</v>
      </c>
      <c r="B680" s="2" t="s">
        <v>803</v>
      </c>
      <c r="C680" s="2" t="s">
        <v>1330</v>
      </c>
      <c r="D680" s="2" t="s">
        <v>1331</v>
      </c>
      <c r="E680" s="2">
        <v>11.25</v>
      </c>
      <c r="F680" s="2">
        <v>6387</v>
      </c>
      <c r="G680" s="2">
        <v>1.84</v>
      </c>
    </row>
    <row r="681" spans="1:7" ht="16" x14ac:dyDescent="0.2">
      <c r="A681" s="2" t="s">
        <v>316</v>
      </c>
      <c r="B681" s="2" t="s">
        <v>803</v>
      </c>
      <c r="C681" s="2" t="s">
        <v>1331</v>
      </c>
      <c r="D681" s="2" t="s">
        <v>1332</v>
      </c>
      <c r="E681" s="2">
        <v>13.25</v>
      </c>
      <c r="F681" s="2">
        <v>2400</v>
      </c>
      <c r="G681" s="2">
        <v>0.69</v>
      </c>
    </row>
    <row r="682" spans="1:7" ht="16" x14ac:dyDescent="0.2">
      <c r="A682" s="2" t="s">
        <v>316</v>
      </c>
      <c r="B682" s="2" t="s">
        <v>803</v>
      </c>
      <c r="C682" s="2" t="s">
        <v>1332</v>
      </c>
      <c r="D682" s="2" t="s">
        <v>1333</v>
      </c>
      <c r="E682" s="2">
        <v>11.75</v>
      </c>
      <c r="F682" s="2">
        <v>1787</v>
      </c>
      <c r="G682" s="2">
        <v>0.51</v>
      </c>
    </row>
    <row r="683" spans="1:7" ht="16" x14ac:dyDescent="0.2">
      <c r="A683" s="2" t="s">
        <v>316</v>
      </c>
      <c r="B683" s="2" t="s">
        <v>803</v>
      </c>
      <c r="C683" s="2" t="s">
        <v>1333</v>
      </c>
      <c r="D683" s="2" t="s">
        <v>1235</v>
      </c>
      <c r="E683" s="2">
        <v>11.5</v>
      </c>
      <c r="F683" s="2">
        <v>1096</v>
      </c>
      <c r="G683" s="2">
        <v>0.31</v>
      </c>
    </row>
    <row r="684" spans="1:7" ht="16" x14ac:dyDescent="0.2">
      <c r="A684" s="2" t="s">
        <v>316</v>
      </c>
      <c r="B684" s="2" t="s">
        <v>803</v>
      </c>
      <c r="C684" s="2" t="s">
        <v>1235</v>
      </c>
      <c r="D684" s="2" t="s">
        <v>1334</v>
      </c>
      <c r="E684" s="2">
        <v>12.5</v>
      </c>
      <c r="F684" s="2">
        <v>3413</v>
      </c>
      <c r="G684" s="2">
        <v>0.96</v>
      </c>
    </row>
    <row r="685" spans="1:7" ht="16" x14ac:dyDescent="0.2">
      <c r="A685" s="2" t="s">
        <v>316</v>
      </c>
      <c r="B685" s="2" t="s">
        <v>803</v>
      </c>
      <c r="C685" s="2" t="s">
        <v>1334</v>
      </c>
      <c r="D685" s="2" t="s">
        <v>1259</v>
      </c>
      <c r="E685" s="2">
        <v>11.5</v>
      </c>
      <c r="F685" s="2">
        <v>720</v>
      </c>
      <c r="G685" s="2">
        <v>0.2</v>
      </c>
    </row>
    <row r="686" spans="1:7" ht="16" x14ac:dyDescent="0.2">
      <c r="A686" s="2" t="s">
        <v>316</v>
      </c>
      <c r="B686" s="2" t="s">
        <v>803</v>
      </c>
      <c r="C686" s="2" t="s">
        <v>1259</v>
      </c>
      <c r="D686" s="2" t="s">
        <v>1335</v>
      </c>
      <c r="E686" s="2">
        <v>0.75</v>
      </c>
      <c r="F686" s="2">
        <v>0</v>
      </c>
      <c r="G686" s="2">
        <v>0</v>
      </c>
    </row>
    <row r="687" spans="1:7" ht="16" x14ac:dyDescent="0.2">
      <c r="A687" s="2" t="s">
        <v>316</v>
      </c>
      <c r="B687" s="2" t="s">
        <v>803</v>
      </c>
      <c r="C687" s="2" t="s">
        <v>1335</v>
      </c>
      <c r="D687" s="2" t="s">
        <v>1336</v>
      </c>
      <c r="E687" s="2">
        <v>11.75</v>
      </c>
      <c r="F687" s="2">
        <v>3822</v>
      </c>
      <c r="G687" s="2">
        <v>1.06</v>
      </c>
    </row>
    <row r="688" spans="1:7" ht="16" x14ac:dyDescent="0.2">
      <c r="A688" s="2" t="s">
        <v>316</v>
      </c>
      <c r="B688" s="2" t="s">
        <v>803</v>
      </c>
      <c r="C688" s="2" t="s">
        <v>1336</v>
      </c>
      <c r="D688" s="2" t="s">
        <v>1337</v>
      </c>
      <c r="E688" s="2">
        <v>12</v>
      </c>
      <c r="F688" s="2">
        <v>2352</v>
      </c>
      <c r="G688" s="2">
        <v>0.65</v>
      </c>
    </row>
    <row r="689" spans="1:7" ht="16" x14ac:dyDescent="0.2">
      <c r="A689" s="2" t="s">
        <v>316</v>
      </c>
      <c r="B689" s="2" t="s">
        <v>803</v>
      </c>
      <c r="C689" s="2" t="s">
        <v>1337</v>
      </c>
      <c r="D689" s="2" t="s">
        <v>1295</v>
      </c>
      <c r="E689" s="2">
        <v>11.5</v>
      </c>
      <c r="F689" s="2">
        <v>0</v>
      </c>
      <c r="G689" s="2">
        <v>0</v>
      </c>
    </row>
    <row r="690" spans="1:7" ht="16" x14ac:dyDescent="0.2">
      <c r="A690" s="2" t="s">
        <v>316</v>
      </c>
      <c r="B690" s="2" t="s">
        <v>803</v>
      </c>
      <c r="C690" s="2" t="s">
        <v>1295</v>
      </c>
      <c r="D690" s="2" t="s">
        <v>1338</v>
      </c>
      <c r="E690" s="2">
        <v>12.5</v>
      </c>
      <c r="F690" s="2">
        <v>0</v>
      </c>
      <c r="G690" s="2">
        <v>0</v>
      </c>
    </row>
    <row r="691" spans="1:7" ht="16" x14ac:dyDescent="0.2">
      <c r="A691" s="2" t="s">
        <v>316</v>
      </c>
      <c r="B691" s="2" t="s">
        <v>803</v>
      </c>
      <c r="C691" s="2" t="s">
        <v>1338</v>
      </c>
      <c r="D691" s="2" t="s">
        <v>1339</v>
      </c>
      <c r="E691" s="2">
        <v>12</v>
      </c>
      <c r="F691" s="2">
        <v>0</v>
      </c>
      <c r="G691" s="2">
        <v>0</v>
      </c>
    </row>
    <row r="692" spans="1:7" ht="16" x14ac:dyDescent="0.2">
      <c r="A692" s="2" t="s">
        <v>316</v>
      </c>
      <c r="B692" s="2" t="s">
        <v>803</v>
      </c>
      <c r="C692" s="2" t="s">
        <v>1339</v>
      </c>
      <c r="D692" s="2" t="s">
        <v>1340</v>
      </c>
      <c r="E692" s="2">
        <v>12.25</v>
      </c>
      <c r="F692" s="2">
        <v>0</v>
      </c>
      <c r="G692" s="2">
        <v>0</v>
      </c>
    </row>
    <row r="693" spans="1:7" ht="16" x14ac:dyDescent="0.2">
      <c r="A693" s="2" t="s">
        <v>316</v>
      </c>
      <c r="B693" s="2" t="s">
        <v>803</v>
      </c>
      <c r="C693" s="2" t="s">
        <v>1340</v>
      </c>
      <c r="D693" s="2" t="s">
        <v>1341</v>
      </c>
      <c r="E693" s="2">
        <v>11.5</v>
      </c>
      <c r="F693" s="2">
        <v>0</v>
      </c>
      <c r="G693" s="2">
        <v>0</v>
      </c>
    </row>
    <row r="694" spans="1:7" ht="16" x14ac:dyDescent="0.2">
      <c r="A694" s="2" t="s">
        <v>316</v>
      </c>
      <c r="B694" s="2" t="s">
        <v>803</v>
      </c>
      <c r="C694" s="2" t="s">
        <v>1341</v>
      </c>
      <c r="D694" s="2" t="s">
        <v>1342</v>
      </c>
      <c r="E694" s="2">
        <v>12.25</v>
      </c>
      <c r="F694" s="2">
        <v>0</v>
      </c>
      <c r="G694" s="2">
        <v>0</v>
      </c>
    </row>
    <row r="695" spans="1:7" ht="16" x14ac:dyDescent="0.2">
      <c r="A695" s="2" t="s">
        <v>316</v>
      </c>
      <c r="B695" s="2" t="s">
        <v>803</v>
      </c>
      <c r="C695" s="2" t="s">
        <v>1342</v>
      </c>
      <c r="D695" s="2" t="s">
        <v>1343</v>
      </c>
      <c r="E695" s="2">
        <v>12</v>
      </c>
      <c r="F695" s="2">
        <v>0</v>
      </c>
      <c r="G695" s="2">
        <v>0</v>
      </c>
    </row>
    <row r="696" spans="1:7" ht="16" x14ac:dyDescent="0.2">
      <c r="A696" s="2" t="s">
        <v>316</v>
      </c>
      <c r="B696" s="2" t="s">
        <v>803</v>
      </c>
      <c r="C696" s="2" t="s">
        <v>1343</v>
      </c>
      <c r="D696" s="2" t="s">
        <v>1344</v>
      </c>
      <c r="E696" s="2">
        <v>12</v>
      </c>
      <c r="F696" s="2">
        <v>0</v>
      </c>
      <c r="G696" s="2">
        <v>0</v>
      </c>
    </row>
    <row r="697" spans="1:7" ht="16" x14ac:dyDescent="0.2">
      <c r="A697" s="2" t="s">
        <v>316</v>
      </c>
      <c r="B697" s="2" t="s">
        <v>803</v>
      </c>
      <c r="C697" s="2" t="s">
        <v>1344</v>
      </c>
      <c r="D697" s="2" t="s">
        <v>1345</v>
      </c>
      <c r="E697" s="2">
        <v>12.25</v>
      </c>
      <c r="F697" s="2">
        <v>0</v>
      </c>
      <c r="G697" s="2">
        <v>0</v>
      </c>
    </row>
    <row r="698" spans="1:7" ht="16" x14ac:dyDescent="0.2">
      <c r="A698" s="2" t="s">
        <v>316</v>
      </c>
      <c r="B698" s="2" t="s">
        <v>803</v>
      </c>
      <c r="C698" s="2" t="s">
        <v>1345</v>
      </c>
      <c r="D698" s="2" t="s">
        <v>1346</v>
      </c>
      <c r="E698" s="2">
        <v>12</v>
      </c>
      <c r="F698" s="2">
        <v>0</v>
      </c>
      <c r="G698" s="2">
        <v>0</v>
      </c>
    </row>
    <row r="699" spans="1:7" ht="16" x14ac:dyDescent="0.2">
      <c r="A699" s="2" t="s">
        <v>316</v>
      </c>
      <c r="B699" s="2" t="s">
        <v>803</v>
      </c>
      <c r="C699" s="2" t="s">
        <v>1346</v>
      </c>
      <c r="D699" s="2" t="s">
        <v>1347</v>
      </c>
      <c r="E699" s="2">
        <v>11</v>
      </c>
      <c r="F699" s="2">
        <v>0</v>
      </c>
      <c r="G699" s="2">
        <v>0</v>
      </c>
    </row>
    <row r="700" spans="1:7" ht="16" x14ac:dyDescent="0.2">
      <c r="A700" s="2" t="s">
        <v>316</v>
      </c>
      <c r="B700" s="2" t="s">
        <v>803</v>
      </c>
      <c r="C700" s="2" t="s">
        <v>1347</v>
      </c>
      <c r="D700" s="2" t="s">
        <v>1348</v>
      </c>
      <c r="E700" s="2">
        <v>12.75</v>
      </c>
      <c r="F700" s="2">
        <v>0</v>
      </c>
      <c r="G700" s="2">
        <v>0</v>
      </c>
    </row>
    <row r="701" spans="1:7" ht="16" x14ac:dyDescent="0.2">
      <c r="A701" s="2" t="s">
        <v>316</v>
      </c>
      <c r="B701" s="2" t="s">
        <v>803</v>
      </c>
      <c r="C701" s="2" t="s">
        <v>1348</v>
      </c>
      <c r="D701" s="2" t="s">
        <v>1349</v>
      </c>
      <c r="E701" s="2">
        <v>12.5</v>
      </c>
      <c r="F701" s="2">
        <v>0</v>
      </c>
      <c r="G701" s="2">
        <v>0</v>
      </c>
    </row>
    <row r="702" spans="1:7" ht="16" x14ac:dyDescent="0.2">
      <c r="A702" s="2" t="s">
        <v>316</v>
      </c>
      <c r="B702" s="2" t="s">
        <v>803</v>
      </c>
      <c r="C702" s="2" t="s">
        <v>1349</v>
      </c>
      <c r="D702" s="2" t="s">
        <v>1350</v>
      </c>
      <c r="E702" s="2">
        <v>11.5</v>
      </c>
      <c r="F702" s="2">
        <v>0</v>
      </c>
      <c r="G702" s="2">
        <v>0</v>
      </c>
    </row>
    <row r="703" spans="1:7" ht="16" x14ac:dyDescent="0.2">
      <c r="A703" s="2" t="s">
        <v>316</v>
      </c>
      <c r="B703" s="2" t="s">
        <v>803</v>
      </c>
      <c r="C703" s="2" t="s">
        <v>1350</v>
      </c>
      <c r="D703" s="2" t="s">
        <v>1351</v>
      </c>
      <c r="E703" s="2">
        <v>11.5</v>
      </c>
      <c r="F703" s="2">
        <v>0</v>
      </c>
      <c r="G703" s="2">
        <v>0</v>
      </c>
    </row>
    <row r="704" spans="1:7" ht="16" x14ac:dyDescent="0.2">
      <c r="A704" s="2" t="s">
        <v>316</v>
      </c>
      <c r="B704" s="2" t="s">
        <v>803</v>
      </c>
      <c r="C704" s="2" t="s">
        <v>1351</v>
      </c>
      <c r="D704" s="2" t="s">
        <v>1352</v>
      </c>
      <c r="E704" s="2">
        <v>12.5</v>
      </c>
      <c r="F704" s="2">
        <v>0</v>
      </c>
      <c r="G704" s="2">
        <v>0</v>
      </c>
    </row>
    <row r="705" spans="1:7" ht="16" x14ac:dyDescent="0.2">
      <c r="A705" s="2" t="s">
        <v>316</v>
      </c>
      <c r="B705" s="2" t="s">
        <v>803</v>
      </c>
      <c r="C705" s="2" t="s">
        <v>1352</v>
      </c>
      <c r="D705" s="2" t="s">
        <v>1353</v>
      </c>
      <c r="E705" s="2">
        <v>11.75</v>
      </c>
      <c r="F705" s="2">
        <v>0</v>
      </c>
      <c r="G705" s="2">
        <v>0</v>
      </c>
    </row>
    <row r="706" spans="1:7" ht="16" x14ac:dyDescent="0.2">
      <c r="A706" s="2" t="s">
        <v>316</v>
      </c>
      <c r="B706" s="2" t="s">
        <v>803</v>
      </c>
      <c r="C706" s="2" t="s">
        <v>1353</v>
      </c>
      <c r="D706" s="2" t="s">
        <v>1354</v>
      </c>
      <c r="E706" s="2">
        <v>12</v>
      </c>
      <c r="F706" s="2">
        <v>0</v>
      </c>
      <c r="G706" s="2">
        <v>0</v>
      </c>
    </row>
    <row r="707" spans="1:7" ht="16" x14ac:dyDescent="0.2">
      <c r="A707" s="2" t="s">
        <v>316</v>
      </c>
      <c r="B707" s="2" t="s">
        <v>803</v>
      </c>
      <c r="C707" s="2" t="s">
        <v>1354</v>
      </c>
      <c r="D707" s="2" t="s">
        <v>1355</v>
      </c>
      <c r="E707" s="2">
        <v>12.25</v>
      </c>
      <c r="F707" s="2">
        <v>0</v>
      </c>
      <c r="G707" s="2">
        <v>0</v>
      </c>
    </row>
    <row r="708" spans="1:7" ht="16" x14ac:dyDescent="0.2">
      <c r="A708" s="2" t="s">
        <v>316</v>
      </c>
      <c r="B708" s="2" t="s">
        <v>803</v>
      </c>
      <c r="C708" s="2" t="s">
        <v>1355</v>
      </c>
      <c r="D708" s="2" t="s">
        <v>1356</v>
      </c>
      <c r="E708" s="2">
        <v>12</v>
      </c>
      <c r="F708" s="2">
        <v>0</v>
      </c>
      <c r="G708" s="2">
        <v>0</v>
      </c>
    </row>
    <row r="709" spans="1:7" ht="16" x14ac:dyDescent="0.2">
      <c r="A709" s="2" t="s">
        <v>316</v>
      </c>
      <c r="B709" s="2" t="s">
        <v>803</v>
      </c>
      <c r="C709" s="2" t="s">
        <v>1356</v>
      </c>
      <c r="D709" s="2" t="s">
        <v>1357</v>
      </c>
      <c r="E709" s="2">
        <v>11.5</v>
      </c>
      <c r="F709" s="2">
        <v>0</v>
      </c>
      <c r="G709" s="2">
        <v>0</v>
      </c>
    </row>
    <row r="710" spans="1:7" ht="16" x14ac:dyDescent="0.2">
      <c r="A710" s="2" t="s">
        <v>316</v>
      </c>
      <c r="B710" s="2" t="s">
        <v>803</v>
      </c>
      <c r="C710" s="2" t="s">
        <v>1357</v>
      </c>
      <c r="D710" s="2" t="s">
        <v>1358</v>
      </c>
      <c r="E710" s="2">
        <v>12.5</v>
      </c>
      <c r="F710" s="2">
        <v>0</v>
      </c>
      <c r="G710" s="2">
        <v>0</v>
      </c>
    </row>
    <row r="711" spans="1:7" ht="16" x14ac:dyDescent="0.2">
      <c r="A711" s="2" t="s">
        <v>316</v>
      </c>
      <c r="B711" s="2" t="s">
        <v>803</v>
      </c>
      <c r="C711" s="2" t="s">
        <v>1358</v>
      </c>
      <c r="D711" s="2" t="s">
        <v>1359</v>
      </c>
      <c r="E711" s="2">
        <v>11</v>
      </c>
      <c r="F711" s="2">
        <v>0</v>
      </c>
      <c r="G711" s="2">
        <v>0</v>
      </c>
    </row>
    <row r="712" spans="1:7" ht="16" x14ac:dyDescent="0.2">
      <c r="A712" s="2" t="s">
        <v>316</v>
      </c>
      <c r="B712" s="2" t="s">
        <v>803</v>
      </c>
      <c r="C712" s="2" t="s">
        <v>1359</v>
      </c>
      <c r="D712" s="2" t="s">
        <v>1360</v>
      </c>
      <c r="E712" s="2">
        <v>13.25</v>
      </c>
      <c r="F712" s="2">
        <v>0</v>
      </c>
      <c r="G712" s="2">
        <v>0</v>
      </c>
    </row>
    <row r="713" spans="1:7" ht="16" x14ac:dyDescent="0.2">
      <c r="A713" s="2" t="s">
        <v>316</v>
      </c>
      <c r="B713" s="2" t="s">
        <v>803</v>
      </c>
      <c r="C713" s="2" t="s">
        <v>1360</v>
      </c>
      <c r="D713" s="2" t="s">
        <v>1361</v>
      </c>
      <c r="E713" s="2">
        <v>11.5</v>
      </c>
      <c r="F713" s="2">
        <v>0</v>
      </c>
      <c r="G713" s="2">
        <v>0</v>
      </c>
    </row>
    <row r="714" spans="1:7" ht="16" x14ac:dyDescent="0.2">
      <c r="A714" s="2" t="s">
        <v>316</v>
      </c>
      <c r="B714" s="2" t="s">
        <v>803</v>
      </c>
      <c r="C714" s="2" t="s">
        <v>1361</v>
      </c>
      <c r="D714" s="2" t="s">
        <v>1362</v>
      </c>
      <c r="E714" s="2">
        <v>11.75</v>
      </c>
      <c r="F714" s="2">
        <v>0</v>
      </c>
      <c r="G714" s="2">
        <v>0</v>
      </c>
    </row>
    <row r="715" spans="1:7" ht="16" x14ac:dyDescent="0.2">
      <c r="A715" s="2" t="s">
        <v>316</v>
      </c>
      <c r="B715" s="2" t="s">
        <v>803</v>
      </c>
      <c r="C715" s="2" t="s">
        <v>1362</v>
      </c>
      <c r="D715" s="2" t="s">
        <v>1363</v>
      </c>
      <c r="E715" s="2">
        <v>10.5</v>
      </c>
      <c r="F715" s="2">
        <v>0</v>
      </c>
      <c r="G715" s="2">
        <v>0</v>
      </c>
    </row>
    <row r="716" spans="1:7" ht="16" x14ac:dyDescent="0.2">
      <c r="A716" s="2" t="s">
        <v>316</v>
      </c>
      <c r="B716" s="2" t="s">
        <v>803</v>
      </c>
      <c r="C716" s="2" t="s">
        <v>1363</v>
      </c>
      <c r="D716" s="2" t="s">
        <v>1364</v>
      </c>
      <c r="E716" s="2">
        <v>13.75</v>
      </c>
      <c r="F716" s="2">
        <v>0</v>
      </c>
      <c r="G716" s="2">
        <v>0</v>
      </c>
    </row>
    <row r="717" spans="1:7" ht="16" x14ac:dyDescent="0.2">
      <c r="A717" s="2" t="s">
        <v>316</v>
      </c>
      <c r="B717" s="2" t="s">
        <v>803</v>
      </c>
      <c r="C717" s="2" t="s">
        <v>1364</v>
      </c>
      <c r="D717" s="2" t="s">
        <v>1365</v>
      </c>
      <c r="E717" s="2">
        <v>10.25</v>
      </c>
      <c r="F717" s="2">
        <v>0</v>
      </c>
      <c r="G717" s="2">
        <v>0</v>
      </c>
    </row>
    <row r="718" spans="1:7" ht="16" x14ac:dyDescent="0.2">
      <c r="A718" s="2" t="s">
        <v>316</v>
      </c>
      <c r="B718" s="2" t="s">
        <v>803</v>
      </c>
      <c r="C718" s="2" t="s">
        <v>1365</v>
      </c>
      <c r="D718" s="2" t="s">
        <v>1366</v>
      </c>
      <c r="E718" s="2">
        <v>14.75</v>
      </c>
      <c r="F718" s="2">
        <v>0</v>
      </c>
      <c r="G718" s="2">
        <v>0</v>
      </c>
    </row>
    <row r="719" spans="1:7" ht="16" x14ac:dyDescent="0.2">
      <c r="A719" s="2" t="s">
        <v>316</v>
      </c>
      <c r="B719" s="2" t="s">
        <v>803</v>
      </c>
      <c r="C719" s="2" t="s">
        <v>1366</v>
      </c>
      <c r="D719" s="2" t="s">
        <v>1367</v>
      </c>
      <c r="E719" s="2">
        <v>11.5</v>
      </c>
      <c r="F719" s="2">
        <v>0</v>
      </c>
      <c r="G719" s="2">
        <v>0</v>
      </c>
    </row>
    <row r="720" spans="1:7" ht="16" x14ac:dyDescent="0.2">
      <c r="A720" s="2" t="s">
        <v>316</v>
      </c>
      <c r="B720" s="2" t="s">
        <v>803</v>
      </c>
      <c r="C720" s="2" t="s">
        <v>1367</v>
      </c>
      <c r="D720" s="2" t="s">
        <v>1368</v>
      </c>
      <c r="E720" s="2">
        <v>23.75</v>
      </c>
      <c r="F720" s="2">
        <v>0</v>
      </c>
      <c r="G720" s="2">
        <v>0</v>
      </c>
    </row>
    <row r="721" spans="1:7" ht="16" x14ac:dyDescent="0.2">
      <c r="A721" s="2" t="s">
        <v>316</v>
      </c>
      <c r="B721" s="2" t="s">
        <v>803</v>
      </c>
      <c r="C721" s="2" t="s">
        <v>1368</v>
      </c>
      <c r="D721" s="2" t="s">
        <v>1369</v>
      </c>
      <c r="E721" s="2">
        <v>0.25</v>
      </c>
      <c r="F721" s="2">
        <v>0</v>
      </c>
      <c r="G721" s="2">
        <v>0</v>
      </c>
    </row>
    <row r="722" spans="1:7" ht="16" x14ac:dyDescent="0.2">
      <c r="A722" s="2" t="s">
        <v>316</v>
      </c>
      <c r="B722" s="2" t="s">
        <v>803</v>
      </c>
      <c r="C722" s="2" t="s">
        <v>1369</v>
      </c>
      <c r="D722" s="2" t="s">
        <v>1370</v>
      </c>
      <c r="E722" s="2">
        <v>23</v>
      </c>
      <c r="F722" s="2">
        <v>0</v>
      </c>
      <c r="G722" s="2">
        <v>0</v>
      </c>
    </row>
    <row r="723" spans="1:7" ht="16" x14ac:dyDescent="0.2">
      <c r="A723" s="2" t="s">
        <v>316</v>
      </c>
      <c r="B723" s="2" t="s">
        <v>803</v>
      </c>
      <c r="C723" s="2" t="s">
        <v>1370</v>
      </c>
      <c r="D723" s="2" t="s">
        <v>1371</v>
      </c>
      <c r="E723" s="2">
        <v>1</v>
      </c>
      <c r="F723" s="2">
        <v>0</v>
      </c>
      <c r="G723" s="2">
        <v>0</v>
      </c>
    </row>
    <row r="724" spans="1:7" ht="16" x14ac:dyDescent="0.2">
      <c r="A724" s="2" t="s">
        <v>316</v>
      </c>
      <c r="B724" s="2" t="s">
        <v>803</v>
      </c>
      <c r="C724" s="2" t="s">
        <v>1371</v>
      </c>
      <c r="D724" s="2" t="s">
        <v>1372</v>
      </c>
      <c r="E724" s="2">
        <v>23.5</v>
      </c>
      <c r="F724" s="2">
        <v>0</v>
      </c>
      <c r="G724" s="2">
        <v>0</v>
      </c>
    </row>
    <row r="725" spans="1:7" ht="16" x14ac:dyDescent="0.2">
      <c r="A725" s="2" t="s">
        <v>316</v>
      </c>
      <c r="B725" s="2" t="s">
        <v>803</v>
      </c>
      <c r="C725" s="2" t="s">
        <v>1372</v>
      </c>
      <c r="D725" s="2" t="s">
        <v>1373</v>
      </c>
      <c r="E725" s="2">
        <v>24.25</v>
      </c>
      <c r="F725" s="2">
        <v>0</v>
      </c>
      <c r="G725" s="2">
        <v>0</v>
      </c>
    </row>
    <row r="726" spans="1:7" ht="16" x14ac:dyDescent="0.2">
      <c r="A726" s="2" t="s">
        <v>316</v>
      </c>
      <c r="B726" s="2" t="s">
        <v>803</v>
      </c>
      <c r="C726" s="2" t="s">
        <v>1373</v>
      </c>
      <c r="D726" s="2" t="s">
        <v>1374</v>
      </c>
      <c r="E726" s="2">
        <v>24</v>
      </c>
      <c r="F726" s="2">
        <v>0</v>
      </c>
      <c r="G726" s="2">
        <v>0</v>
      </c>
    </row>
    <row r="727" spans="1:7" ht="16" x14ac:dyDescent="0.2">
      <c r="A727" s="2" t="s">
        <v>316</v>
      </c>
      <c r="B727" s="2" t="s">
        <v>803</v>
      </c>
      <c r="C727" s="2" t="s">
        <v>1374</v>
      </c>
      <c r="D727" s="2" t="s">
        <v>1375</v>
      </c>
      <c r="E727" s="2">
        <v>338</v>
      </c>
      <c r="F727" s="2">
        <v>0</v>
      </c>
      <c r="G727" s="2">
        <v>0</v>
      </c>
    </row>
    <row r="728" spans="1:7" ht="16" x14ac:dyDescent="0.2">
      <c r="A728" s="2" t="s">
        <v>316</v>
      </c>
      <c r="B728" s="2" t="s">
        <v>803</v>
      </c>
      <c r="C728" s="2" t="s">
        <v>1375</v>
      </c>
      <c r="D728" s="2" t="s">
        <v>1376</v>
      </c>
      <c r="E728" s="2">
        <v>21.75</v>
      </c>
      <c r="F728" s="2">
        <v>0</v>
      </c>
      <c r="G728" s="2">
        <v>0</v>
      </c>
    </row>
    <row r="729" spans="1:7" ht="16" x14ac:dyDescent="0.2">
      <c r="A729" s="2" t="s">
        <v>307</v>
      </c>
      <c r="B729" s="2" t="s">
        <v>559</v>
      </c>
      <c r="C729" s="2" t="s">
        <v>770</v>
      </c>
      <c r="D729" s="2" t="s">
        <v>563</v>
      </c>
      <c r="E729" s="2">
        <v>6.1</v>
      </c>
      <c r="F729" s="2">
        <v>15868</v>
      </c>
      <c r="G729" s="2">
        <v>22.52</v>
      </c>
    </row>
    <row r="730" spans="1:7" ht="16" x14ac:dyDescent="0.2">
      <c r="A730" s="2" t="s">
        <v>307</v>
      </c>
      <c r="B730" s="2" t="s">
        <v>559</v>
      </c>
      <c r="C730" s="2" t="s">
        <v>563</v>
      </c>
      <c r="D730" s="2" t="s">
        <v>564</v>
      </c>
      <c r="E730" s="2">
        <v>19.03</v>
      </c>
      <c r="F730" s="2">
        <v>39049</v>
      </c>
      <c r="G730" s="2">
        <v>35.659999999999997</v>
      </c>
    </row>
    <row r="731" spans="1:7" ht="16" x14ac:dyDescent="0.2">
      <c r="A731" s="2" t="s">
        <v>307</v>
      </c>
      <c r="B731" s="2" t="s">
        <v>559</v>
      </c>
      <c r="C731" s="2" t="s">
        <v>564</v>
      </c>
      <c r="D731" s="2" t="s">
        <v>1377</v>
      </c>
      <c r="E731" s="2">
        <v>4.18</v>
      </c>
      <c r="F731" s="2">
        <v>-665</v>
      </c>
      <c r="G731" s="2">
        <v>-0.61</v>
      </c>
    </row>
    <row r="732" spans="1:7" ht="16" x14ac:dyDescent="0.2">
      <c r="A732" s="2" t="s">
        <v>307</v>
      </c>
      <c r="B732" s="2" t="s">
        <v>559</v>
      </c>
      <c r="C732" s="2" t="s">
        <v>1377</v>
      </c>
      <c r="D732" s="2" t="s">
        <v>625</v>
      </c>
      <c r="E732" s="2">
        <v>1.85</v>
      </c>
      <c r="F732" s="2">
        <v>2714</v>
      </c>
      <c r="G732" s="2">
        <v>2.4300000000000002</v>
      </c>
    </row>
    <row r="733" spans="1:7" ht="16" x14ac:dyDescent="0.2">
      <c r="A733" s="2" t="s">
        <v>307</v>
      </c>
      <c r="B733" s="2" t="s">
        <v>559</v>
      </c>
      <c r="C733" s="2" t="s">
        <v>625</v>
      </c>
      <c r="D733" s="2" t="s">
        <v>577</v>
      </c>
      <c r="E733" s="2">
        <v>20.100000000000001</v>
      </c>
      <c r="F733" s="2">
        <v>3314</v>
      </c>
      <c r="G733" s="2">
        <v>2.88</v>
      </c>
    </row>
    <row r="734" spans="1:7" ht="16" x14ac:dyDescent="0.2">
      <c r="A734" s="2" t="s">
        <v>307</v>
      </c>
      <c r="B734" s="2" t="s">
        <v>559</v>
      </c>
      <c r="C734" s="2" t="s">
        <v>577</v>
      </c>
      <c r="D734" s="2" t="s">
        <v>578</v>
      </c>
      <c r="E734" s="2">
        <v>21.63</v>
      </c>
      <c r="F734" s="2">
        <v>13933</v>
      </c>
      <c r="G734" s="2">
        <v>10.82</v>
      </c>
    </row>
    <row r="735" spans="1:7" ht="16" x14ac:dyDescent="0.2">
      <c r="A735" s="2" t="s">
        <v>307</v>
      </c>
      <c r="B735" s="2" t="s">
        <v>559</v>
      </c>
      <c r="C735" s="2" t="s">
        <v>578</v>
      </c>
      <c r="D735" s="2" t="s">
        <v>592</v>
      </c>
      <c r="E735" s="2">
        <v>5.72</v>
      </c>
      <c r="F735" s="2">
        <v>1595</v>
      </c>
      <c r="G735" s="2">
        <v>1.22</v>
      </c>
    </row>
    <row r="736" spans="1:7" ht="16" x14ac:dyDescent="0.2">
      <c r="A736" s="2" t="s">
        <v>307</v>
      </c>
      <c r="B736" s="2" t="s">
        <v>559</v>
      </c>
      <c r="C736" s="2" t="s">
        <v>592</v>
      </c>
      <c r="D736" s="2" t="s">
        <v>593</v>
      </c>
      <c r="E736" s="2">
        <v>21.57</v>
      </c>
      <c r="F736" s="2">
        <v>7733</v>
      </c>
      <c r="G736" s="2">
        <v>5.6</v>
      </c>
    </row>
    <row r="737" spans="1:7" ht="16" x14ac:dyDescent="0.2">
      <c r="A737" s="2" t="s">
        <v>307</v>
      </c>
      <c r="B737" s="2" t="s">
        <v>559</v>
      </c>
      <c r="C737" s="2" t="s">
        <v>593</v>
      </c>
      <c r="D737" s="2" t="s">
        <v>571</v>
      </c>
      <c r="E737" s="2">
        <v>4.8</v>
      </c>
      <c r="F737" s="2">
        <v>-9311</v>
      </c>
      <c r="G737" s="2">
        <v>-7.23</v>
      </c>
    </row>
    <row r="738" spans="1:7" ht="16" x14ac:dyDescent="0.2">
      <c r="A738" s="2" t="s">
        <v>307</v>
      </c>
      <c r="B738" s="2" t="s">
        <v>559</v>
      </c>
      <c r="C738" s="2" t="s">
        <v>571</v>
      </c>
      <c r="D738" s="2" t="s">
        <v>572</v>
      </c>
      <c r="E738" s="2">
        <v>14.95</v>
      </c>
      <c r="F738" s="2">
        <v>16438</v>
      </c>
      <c r="G738" s="2">
        <v>11.32</v>
      </c>
    </row>
    <row r="739" spans="1:7" ht="16" x14ac:dyDescent="0.2">
      <c r="A739" s="2" t="s">
        <v>307</v>
      </c>
      <c r="B739" s="2" t="s">
        <v>559</v>
      </c>
      <c r="C739" s="2" t="s">
        <v>572</v>
      </c>
      <c r="D739" s="2" t="s">
        <v>579</v>
      </c>
      <c r="E739" s="2">
        <v>9.1300000000000008</v>
      </c>
      <c r="F739" s="2">
        <v>-8619</v>
      </c>
      <c r="G739" s="2">
        <v>-6.31</v>
      </c>
    </row>
    <row r="740" spans="1:7" ht="16" x14ac:dyDescent="0.2">
      <c r="A740" s="2" t="s">
        <v>307</v>
      </c>
      <c r="B740" s="2" t="s">
        <v>559</v>
      </c>
      <c r="C740" s="2" t="s">
        <v>579</v>
      </c>
      <c r="D740" s="2" t="s">
        <v>580</v>
      </c>
      <c r="E740" s="2">
        <v>18.68</v>
      </c>
      <c r="F740" s="2">
        <v>12876</v>
      </c>
      <c r="G740" s="2">
        <v>8.61</v>
      </c>
    </row>
    <row r="741" spans="1:7" ht="16" x14ac:dyDescent="0.2">
      <c r="A741" s="2" t="s">
        <v>307</v>
      </c>
      <c r="B741" s="2" t="s">
        <v>559</v>
      </c>
      <c r="C741" s="2" t="s">
        <v>580</v>
      </c>
      <c r="D741" s="2" t="s">
        <v>585</v>
      </c>
      <c r="E741" s="2">
        <v>5.57</v>
      </c>
      <c r="F741" s="2">
        <v>-6705</v>
      </c>
      <c r="G741" s="2">
        <v>-4.7</v>
      </c>
    </row>
    <row r="742" spans="1:7" ht="16" x14ac:dyDescent="0.2">
      <c r="A742" s="2" t="s">
        <v>307</v>
      </c>
      <c r="B742" s="2" t="s">
        <v>559</v>
      </c>
      <c r="C742" s="2" t="s">
        <v>585</v>
      </c>
      <c r="D742" s="2" t="s">
        <v>586</v>
      </c>
      <c r="E742" s="2">
        <v>14.5</v>
      </c>
      <c r="F742" s="2">
        <v>8768</v>
      </c>
      <c r="G742" s="2">
        <v>5.78</v>
      </c>
    </row>
    <row r="743" spans="1:7" ht="16" x14ac:dyDescent="0.2">
      <c r="A743" s="2" t="s">
        <v>307</v>
      </c>
      <c r="B743" s="2" t="s">
        <v>559</v>
      </c>
      <c r="C743" s="2" t="s">
        <v>586</v>
      </c>
      <c r="D743" s="2" t="s">
        <v>729</v>
      </c>
      <c r="E743" s="2">
        <v>19.13</v>
      </c>
      <c r="F743" s="2">
        <v>-6440</v>
      </c>
      <c r="G743" s="2">
        <v>-4.4400000000000004</v>
      </c>
    </row>
    <row r="744" spans="1:7" ht="16" x14ac:dyDescent="0.2">
      <c r="A744" s="2" t="s">
        <v>307</v>
      </c>
      <c r="B744" s="2" t="s">
        <v>559</v>
      </c>
      <c r="C744" s="2" t="s">
        <v>729</v>
      </c>
      <c r="D744" s="2" t="s">
        <v>1378</v>
      </c>
      <c r="E744" s="2">
        <v>7.35</v>
      </c>
      <c r="F744" s="2">
        <v>4554</v>
      </c>
      <c r="G744" s="2">
        <v>3.04</v>
      </c>
    </row>
    <row r="745" spans="1:7" ht="16" x14ac:dyDescent="0.2">
      <c r="A745" s="2" t="s">
        <v>307</v>
      </c>
      <c r="B745" s="2" t="s">
        <v>559</v>
      </c>
      <c r="C745" s="2" t="s">
        <v>1378</v>
      </c>
      <c r="D745" s="2" t="s">
        <v>635</v>
      </c>
      <c r="E745" s="2">
        <v>5.42</v>
      </c>
      <c r="F745" s="2">
        <v>-1450</v>
      </c>
      <c r="G745" s="2">
        <v>-0.98</v>
      </c>
    </row>
    <row r="746" spans="1:7" ht="16" x14ac:dyDescent="0.2">
      <c r="A746" s="2" t="s">
        <v>307</v>
      </c>
      <c r="B746" s="2" t="s">
        <v>559</v>
      </c>
      <c r="C746" s="2" t="s">
        <v>635</v>
      </c>
      <c r="D746" s="2" t="s">
        <v>636</v>
      </c>
      <c r="E746" s="2">
        <v>17.05</v>
      </c>
      <c r="F746" s="2">
        <v>2452</v>
      </c>
      <c r="G746" s="2">
        <v>1.63</v>
      </c>
    </row>
    <row r="747" spans="1:7" ht="16" x14ac:dyDescent="0.2">
      <c r="A747" s="2" t="s">
        <v>307</v>
      </c>
      <c r="B747" s="2" t="s">
        <v>559</v>
      </c>
      <c r="C747" s="2" t="s">
        <v>636</v>
      </c>
      <c r="D747" s="2" t="s">
        <v>672</v>
      </c>
      <c r="E747" s="2">
        <v>5.22</v>
      </c>
      <c r="F747" s="2">
        <v>-62</v>
      </c>
      <c r="G747" s="2">
        <v>-0.04</v>
      </c>
    </row>
    <row r="748" spans="1:7" ht="16" x14ac:dyDescent="0.2">
      <c r="A748" s="2" t="s">
        <v>307</v>
      </c>
      <c r="B748" s="2" t="s">
        <v>559</v>
      </c>
      <c r="C748" s="2" t="s">
        <v>672</v>
      </c>
      <c r="D748" s="2" t="s">
        <v>673</v>
      </c>
      <c r="E748" s="2">
        <v>17.87</v>
      </c>
      <c r="F748" s="2">
        <v>800</v>
      </c>
      <c r="G748" s="2">
        <v>0.53</v>
      </c>
    </row>
    <row r="749" spans="1:7" ht="16" x14ac:dyDescent="0.2">
      <c r="A749" s="2" t="s">
        <v>307</v>
      </c>
      <c r="B749" s="2" t="s">
        <v>559</v>
      </c>
      <c r="C749" s="2" t="s">
        <v>673</v>
      </c>
      <c r="D749" s="2" t="s">
        <v>660</v>
      </c>
      <c r="E749" s="2">
        <v>4.58</v>
      </c>
      <c r="F749" s="2">
        <v>44</v>
      </c>
      <c r="G749" s="2">
        <v>0.03</v>
      </c>
    </row>
    <row r="750" spans="1:7" ht="16" x14ac:dyDescent="0.2">
      <c r="A750" s="2" t="s">
        <v>307</v>
      </c>
      <c r="B750" s="2" t="s">
        <v>559</v>
      </c>
      <c r="C750" s="2" t="s">
        <v>660</v>
      </c>
      <c r="D750" s="2" t="s">
        <v>661</v>
      </c>
      <c r="E750" s="2">
        <v>20.399999999999999</v>
      </c>
      <c r="F750" s="2">
        <v>1289</v>
      </c>
      <c r="G750" s="2">
        <v>0.84</v>
      </c>
    </row>
    <row r="751" spans="1:7" ht="16" x14ac:dyDescent="0.2">
      <c r="A751" s="2" t="s">
        <v>307</v>
      </c>
      <c r="B751" s="2" t="s">
        <v>559</v>
      </c>
      <c r="C751" s="2" t="s">
        <v>661</v>
      </c>
      <c r="D751" s="2" t="s">
        <v>640</v>
      </c>
      <c r="E751" s="2">
        <v>4.07</v>
      </c>
      <c r="F751" s="2">
        <v>-1246</v>
      </c>
      <c r="G751" s="2">
        <v>-0.82</v>
      </c>
    </row>
    <row r="752" spans="1:7" ht="16" x14ac:dyDescent="0.2">
      <c r="A752" s="2" t="s">
        <v>307</v>
      </c>
      <c r="B752" s="2" t="s">
        <v>559</v>
      </c>
      <c r="C752" s="2" t="s">
        <v>640</v>
      </c>
      <c r="D752" s="2" t="s">
        <v>641</v>
      </c>
      <c r="E752" s="2">
        <v>19.329999999999998</v>
      </c>
      <c r="F752" s="2">
        <v>1923</v>
      </c>
      <c r="G752" s="2">
        <v>1.25</v>
      </c>
    </row>
    <row r="753" spans="1:7" ht="16" x14ac:dyDescent="0.2">
      <c r="A753" s="2" t="s">
        <v>307</v>
      </c>
      <c r="B753" s="2" t="s">
        <v>559</v>
      </c>
      <c r="C753" s="2" t="s">
        <v>641</v>
      </c>
      <c r="D753" s="2" t="s">
        <v>678</v>
      </c>
      <c r="E753" s="2">
        <v>1.95</v>
      </c>
      <c r="F753" s="2">
        <v>-750</v>
      </c>
      <c r="G753" s="2">
        <v>-0.49</v>
      </c>
    </row>
    <row r="754" spans="1:7" ht="16" x14ac:dyDescent="0.2">
      <c r="A754" s="2" t="s">
        <v>307</v>
      </c>
      <c r="B754" s="2" t="s">
        <v>559</v>
      </c>
      <c r="C754" s="2" t="s">
        <v>678</v>
      </c>
      <c r="D754" s="2" t="s">
        <v>679</v>
      </c>
      <c r="E754" s="2">
        <v>25</v>
      </c>
      <c r="F754" s="2">
        <v>648</v>
      </c>
      <c r="G754" s="2">
        <v>0.42</v>
      </c>
    </row>
    <row r="755" spans="1:7" ht="16" x14ac:dyDescent="0.2">
      <c r="A755" s="2" t="s">
        <v>307</v>
      </c>
      <c r="B755" s="2" t="s">
        <v>559</v>
      </c>
      <c r="C755" s="2" t="s">
        <v>679</v>
      </c>
      <c r="D755" s="2" t="s">
        <v>722</v>
      </c>
      <c r="E755" s="2">
        <v>93.28</v>
      </c>
      <c r="F755" s="2">
        <v>0</v>
      </c>
      <c r="G755" s="2">
        <v>0</v>
      </c>
    </row>
    <row r="756" spans="1:7" ht="16" x14ac:dyDescent="0.2">
      <c r="A756" s="2" t="s">
        <v>307</v>
      </c>
      <c r="B756" s="2" t="s">
        <v>886</v>
      </c>
      <c r="C756" s="2" t="s">
        <v>563</v>
      </c>
      <c r="D756" s="2" t="s">
        <v>1379</v>
      </c>
      <c r="E756" s="2">
        <v>12</v>
      </c>
      <c r="F756" s="2">
        <v>11070</v>
      </c>
      <c r="G756" s="2">
        <v>11.92</v>
      </c>
    </row>
    <row r="757" spans="1:7" ht="16" x14ac:dyDescent="0.2">
      <c r="A757" s="2" t="s">
        <v>307</v>
      </c>
      <c r="B757" s="2" t="s">
        <v>886</v>
      </c>
      <c r="C757" s="2" t="s">
        <v>1379</v>
      </c>
      <c r="D757" s="2" t="s">
        <v>1380</v>
      </c>
      <c r="E757" s="2">
        <v>12</v>
      </c>
      <c r="F757" s="2">
        <v>6229</v>
      </c>
      <c r="G757" s="2">
        <v>6.28</v>
      </c>
    </row>
    <row r="758" spans="1:7" ht="16" x14ac:dyDescent="0.2">
      <c r="A758" s="2" t="s">
        <v>307</v>
      </c>
      <c r="B758" s="2" t="s">
        <v>886</v>
      </c>
      <c r="C758" s="2" t="s">
        <v>1380</v>
      </c>
      <c r="D758" s="2" t="s">
        <v>1381</v>
      </c>
      <c r="E758" s="2">
        <v>12</v>
      </c>
      <c r="F758" s="2">
        <v>1060</v>
      </c>
      <c r="G758" s="2">
        <v>1.06</v>
      </c>
    </row>
    <row r="759" spans="1:7" ht="16" x14ac:dyDescent="0.2">
      <c r="A759" s="2" t="s">
        <v>307</v>
      </c>
      <c r="B759" s="2" t="s">
        <v>886</v>
      </c>
      <c r="C759" s="2" t="s">
        <v>1381</v>
      </c>
      <c r="D759" s="2" t="s">
        <v>1382</v>
      </c>
      <c r="E759" s="2">
        <v>12</v>
      </c>
      <c r="F759" s="2">
        <v>6607</v>
      </c>
      <c r="G759" s="2">
        <v>6.19</v>
      </c>
    </row>
    <row r="760" spans="1:7" ht="16" x14ac:dyDescent="0.2">
      <c r="A760" s="2" t="s">
        <v>307</v>
      </c>
      <c r="B760" s="2" t="s">
        <v>886</v>
      </c>
      <c r="C760" s="2" t="s">
        <v>1382</v>
      </c>
      <c r="D760" s="2" t="s">
        <v>1383</v>
      </c>
      <c r="E760" s="2">
        <v>12</v>
      </c>
      <c r="F760" s="2">
        <v>4610</v>
      </c>
      <c r="G760" s="2">
        <v>4.1399999999999997</v>
      </c>
    </row>
    <row r="761" spans="1:7" ht="16" x14ac:dyDescent="0.2">
      <c r="A761" s="2" t="s">
        <v>307</v>
      </c>
      <c r="B761" s="2" t="s">
        <v>886</v>
      </c>
      <c r="C761" s="2" t="s">
        <v>1383</v>
      </c>
      <c r="D761" s="2" t="s">
        <v>1384</v>
      </c>
      <c r="E761" s="2">
        <v>12</v>
      </c>
      <c r="F761" s="2">
        <v>12881</v>
      </c>
      <c r="G761" s="2">
        <v>10.37</v>
      </c>
    </row>
    <row r="762" spans="1:7" ht="16" x14ac:dyDescent="0.2">
      <c r="A762" s="2" t="s">
        <v>307</v>
      </c>
      <c r="B762" s="2" t="s">
        <v>886</v>
      </c>
      <c r="C762" s="2" t="s">
        <v>1384</v>
      </c>
      <c r="D762" s="2" t="s">
        <v>1385</v>
      </c>
      <c r="E762" s="2">
        <v>12</v>
      </c>
      <c r="F762" s="2">
        <v>2567</v>
      </c>
      <c r="G762" s="2">
        <v>2.02</v>
      </c>
    </row>
    <row r="763" spans="1:7" ht="16" x14ac:dyDescent="0.2">
      <c r="A763" s="2" t="s">
        <v>307</v>
      </c>
      <c r="B763" s="2" t="s">
        <v>886</v>
      </c>
      <c r="C763" s="2" t="s">
        <v>1385</v>
      </c>
      <c r="D763" s="2" t="s">
        <v>1386</v>
      </c>
      <c r="E763" s="2">
        <v>12</v>
      </c>
      <c r="F763" s="2">
        <v>5753</v>
      </c>
      <c r="G763" s="2">
        <v>4.34</v>
      </c>
    </row>
    <row r="764" spans="1:7" ht="16" x14ac:dyDescent="0.2">
      <c r="A764" s="2" t="s">
        <v>307</v>
      </c>
      <c r="B764" s="2" t="s">
        <v>886</v>
      </c>
      <c r="C764" s="2" t="s">
        <v>1386</v>
      </c>
      <c r="D764" s="2" t="s">
        <v>1387</v>
      </c>
      <c r="E764" s="2">
        <v>12</v>
      </c>
      <c r="F764" s="2">
        <v>0</v>
      </c>
      <c r="G764" s="2">
        <v>0</v>
      </c>
    </row>
    <row r="765" spans="1:7" ht="16" x14ac:dyDescent="0.2">
      <c r="A765" s="2" t="s">
        <v>307</v>
      </c>
      <c r="B765" s="2" t="s">
        <v>886</v>
      </c>
      <c r="C765" s="2" t="s">
        <v>1387</v>
      </c>
      <c r="D765" s="2" t="s">
        <v>1388</v>
      </c>
      <c r="E765" s="2">
        <v>12</v>
      </c>
      <c r="F765" s="2">
        <v>5529</v>
      </c>
      <c r="G765" s="2">
        <v>4</v>
      </c>
    </row>
    <row r="766" spans="1:7" ht="16" x14ac:dyDescent="0.2">
      <c r="A766" s="2" t="s">
        <v>307</v>
      </c>
      <c r="B766" s="2" t="s">
        <v>886</v>
      </c>
      <c r="C766" s="2" t="s">
        <v>1388</v>
      </c>
      <c r="D766" s="2" t="s">
        <v>1389</v>
      </c>
      <c r="E766" s="2">
        <v>12</v>
      </c>
      <c r="F766" s="2">
        <v>803</v>
      </c>
      <c r="G766" s="2">
        <v>0.57999999999999996</v>
      </c>
    </row>
    <row r="767" spans="1:7" ht="16" x14ac:dyDescent="0.2">
      <c r="A767" s="2" t="s">
        <v>307</v>
      </c>
      <c r="B767" s="2" t="s">
        <v>886</v>
      </c>
      <c r="C767" s="2" t="s">
        <v>1389</v>
      </c>
      <c r="D767" s="2" t="s">
        <v>1390</v>
      </c>
      <c r="E767" s="2">
        <v>12</v>
      </c>
      <c r="F767" s="2">
        <v>2168</v>
      </c>
      <c r="G767" s="2">
        <v>1.54</v>
      </c>
    </row>
    <row r="768" spans="1:7" ht="16" x14ac:dyDescent="0.2">
      <c r="A768" s="2" t="s">
        <v>307</v>
      </c>
      <c r="B768" s="2" t="s">
        <v>886</v>
      </c>
      <c r="C768" s="2" t="s">
        <v>1390</v>
      </c>
      <c r="D768" s="2" t="s">
        <v>1391</v>
      </c>
      <c r="E768" s="2">
        <v>12</v>
      </c>
      <c r="F768" s="2">
        <v>1105</v>
      </c>
      <c r="G768" s="2">
        <v>0.78</v>
      </c>
    </row>
    <row r="769" spans="1:7" ht="16" x14ac:dyDescent="0.2">
      <c r="A769" s="2" t="s">
        <v>307</v>
      </c>
      <c r="B769" s="2" t="s">
        <v>886</v>
      </c>
      <c r="C769" s="2" t="s">
        <v>1391</v>
      </c>
      <c r="D769" s="2" t="s">
        <v>1392</v>
      </c>
      <c r="E769" s="2">
        <v>12</v>
      </c>
      <c r="F769" s="2">
        <v>2523</v>
      </c>
      <c r="G769" s="2">
        <v>1.74</v>
      </c>
    </row>
    <row r="770" spans="1:7" ht="16" x14ac:dyDescent="0.2">
      <c r="A770" s="2" t="s">
        <v>307</v>
      </c>
      <c r="B770" s="2" t="s">
        <v>886</v>
      </c>
      <c r="C770" s="2" t="s">
        <v>1392</v>
      </c>
      <c r="D770" s="2" t="s">
        <v>1393</v>
      </c>
      <c r="E770" s="2">
        <v>12</v>
      </c>
      <c r="F770" s="2">
        <v>170</v>
      </c>
      <c r="G770" s="2">
        <v>0.12</v>
      </c>
    </row>
    <row r="771" spans="1:7" ht="16" x14ac:dyDescent="0.2">
      <c r="A771" s="2" t="s">
        <v>307</v>
      </c>
      <c r="B771" s="2" t="s">
        <v>886</v>
      </c>
      <c r="C771" s="2" t="s">
        <v>1393</v>
      </c>
      <c r="D771" s="2" t="s">
        <v>1394</v>
      </c>
      <c r="E771" s="2">
        <v>12</v>
      </c>
      <c r="F771" s="2">
        <v>1523</v>
      </c>
      <c r="G771" s="2">
        <v>1.04</v>
      </c>
    </row>
    <row r="772" spans="1:7" ht="16" x14ac:dyDescent="0.2">
      <c r="A772" s="2" t="s">
        <v>307</v>
      </c>
      <c r="B772" s="2" t="s">
        <v>886</v>
      </c>
      <c r="C772" s="2" t="s">
        <v>1394</v>
      </c>
      <c r="D772" s="2" t="s">
        <v>1395</v>
      </c>
      <c r="E772" s="2">
        <v>12</v>
      </c>
      <c r="F772" s="2">
        <v>328</v>
      </c>
      <c r="G772" s="2">
        <v>0.22</v>
      </c>
    </row>
    <row r="773" spans="1:7" ht="16" x14ac:dyDescent="0.2">
      <c r="A773" s="2" t="s">
        <v>307</v>
      </c>
      <c r="B773" s="2" t="s">
        <v>886</v>
      </c>
      <c r="C773" s="2" t="s">
        <v>1395</v>
      </c>
      <c r="D773" s="2" t="s">
        <v>1396</v>
      </c>
      <c r="E773" s="2">
        <v>12</v>
      </c>
      <c r="F773" s="2">
        <v>956</v>
      </c>
      <c r="G773" s="2">
        <v>0.65</v>
      </c>
    </row>
    <row r="774" spans="1:7" ht="16" x14ac:dyDescent="0.2">
      <c r="A774" s="2" t="s">
        <v>307</v>
      </c>
      <c r="B774" s="2" t="s">
        <v>886</v>
      </c>
      <c r="C774" s="2" t="s">
        <v>1396</v>
      </c>
      <c r="D774" s="2" t="s">
        <v>1397</v>
      </c>
      <c r="E774" s="2">
        <v>12</v>
      </c>
      <c r="F774" s="2">
        <v>101</v>
      </c>
      <c r="G774" s="2">
        <v>7.0000000000000007E-2</v>
      </c>
    </row>
    <row r="775" spans="1:7" ht="16" x14ac:dyDescent="0.2">
      <c r="A775" s="2" t="s">
        <v>307</v>
      </c>
      <c r="B775" s="2" t="s">
        <v>886</v>
      </c>
      <c r="C775" s="2" t="s">
        <v>1397</v>
      </c>
      <c r="D775" s="2" t="s">
        <v>1398</v>
      </c>
      <c r="E775" s="2">
        <v>12</v>
      </c>
      <c r="F775" s="2">
        <v>1353</v>
      </c>
      <c r="G775" s="2">
        <v>0.91</v>
      </c>
    </row>
    <row r="776" spans="1:7" ht="16" x14ac:dyDescent="0.2">
      <c r="A776" s="2" t="s">
        <v>307</v>
      </c>
      <c r="B776" s="2" t="s">
        <v>886</v>
      </c>
      <c r="C776" s="2" t="s">
        <v>1398</v>
      </c>
      <c r="D776" s="2" t="s">
        <v>1399</v>
      </c>
      <c r="E776" s="2">
        <v>12</v>
      </c>
      <c r="F776" s="2">
        <v>41</v>
      </c>
      <c r="G776" s="2">
        <v>0.03</v>
      </c>
    </row>
    <row r="777" spans="1:7" ht="16" x14ac:dyDescent="0.2">
      <c r="A777" s="2" t="s">
        <v>307</v>
      </c>
      <c r="B777" s="2" t="s">
        <v>886</v>
      </c>
      <c r="C777" s="2" t="s">
        <v>1399</v>
      </c>
      <c r="D777" s="2" t="s">
        <v>1400</v>
      </c>
      <c r="E777" s="2">
        <v>12</v>
      </c>
      <c r="F777" s="2">
        <v>683</v>
      </c>
      <c r="G777" s="2">
        <v>0.46</v>
      </c>
    </row>
    <row r="778" spans="1:7" ht="16" x14ac:dyDescent="0.2">
      <c r="A778" s="2" t="s">
        <v>307</v>
      </c>
      <c r="B778" s="2" t="s">
        <v>886</v>
      </c>
      <c r="C778" s="2" t="s">
        <v>1400</v>
      </c>
      <c r="D778" s="2" t="s">
        <v>1401</v>
      </c>
      <c r="E778" s="2">
        <v>12</v>
      </c>
      <c r="F778" s="2">
        <v>19</v>
      </c>
      <c r="G778" s="2">
        <v>0.01</v>
      </c>
    </row>
    <row r="779" spans="1:7" ht="16" x14ac:dyDescent="0.2">
      <c r="A779" s="2" t="s">
        <v>307</v>
      </c>
      <c r="B779" s="2" t="s">
        <v>886</v>
      </c>
      <c r="C779" s="2" t="s">
        <v>1401</v>
      </c>
      <c r="D779" s="2" t="s">
        <v>1402</v>
      </c>
      <c r="E779" s="2">
        <v>12</v>
      </c>
      <c r="F779" s="2">
        <v>199</v>
      </c>
      <c r="G779" s="2">
        <v>0.13</v>
      </c>
    </row>
    <row r="780" spans="1:7" ht="16" x14ac:dyDescent="0.2">
      <c r="A780" s="2" t="s">
        <v>307</v>
      </c>
      <c r="B780" s="2" t="s">
        <v>886</v>
      </c>
      <c r="C780" s="2" t="s">
        <v>1402</v>
      </c>
      <c r="D780" s="2" t="s">
        <v>1403</v>
      </c>
      <c r="E780" s="2">
        <v>12</v>
      </c>
      <c r="F780" s="2">
        <v>0</v>
      </c>
      <c r="G780" s="2">
        <v>0</v>
      </c>
    </row>
    <row r="781" spans="1:7" ht="16" x14ac:dyDescent="0.2">
      <c r="A781" s="2" t="s">
        <v>307</v>
      </c>
      <c r="B781" s="2" t="s">
        <v>886</v>
      </c>
      <c r="C781" s="2" t="s">
        <v>1403</v>
      </c>
      <c r="D781" s="2" t="s">
        <v>1404</v>
      </c>
      <c r="E781" s="2">
        <v>12</v>
      </c>
      <c r="F781" s="2">
        <v>0</v>
      </c>
      <c r="G781" s="2">
        <v>0</v>
      </c>
    </row>
    <row r="782" spans="1:7" ht="16" x14ac:dyDescent="0.2">
      <c r="A782" s="2" t="s">
        <v>307</v>
      </c>
      <c r="B782" s="2" t="s">
        <v>886</v>
      </c>
      <c r="C782" s="2" t="s">
        <v>1404</v>
      </c>
      <c r="D782" s="2" t="s">
        <v>1405</v>
      </c>
      <c r="E782" s="2">
        <v>12</v>
      </c>
      <c r="F782" s="2">
        <v>0</v>
      </c>
      <c r="G782" s="2">
        <v>0</v>
      </c>
    </row>
    <row r="783" spans="1:7" ht="16" x14ac:dyDescent="0.2">
      <c r="A783" s="2" t="s">
        <v>307</v>
      </c>
      <c r="B783" s="2" t="s">
        <v>886</v>
      </c>
      <c r="C783" s="2" t="s">
        <v>1405</v>
      </c>
      <c r="D783" s="2" t="s">
        <v>1406</v>
      </c>
      <c r="E783" s="2">
        <v>12</v>
      </c>
      <c r="F783" s="2">
        <v>0</v>
      </c>
      <c r="G783" s="2">
        <v>0</v>
      </c>
    </row>
    <row r="784" spans="1:7" ht="16" x14ac:dyDescent="0.2">
      <c r="A784" s="2" t="s">
        <v>307</v>
      </c>
      <c r="B784" s="2" t="s">
        <v>886</v>
      </c>
      <c r="C784" s="2" t="s">
        <v>1406</v>
      </c>
      <c r="D784" s="2" t="s">
        <v>1407</v>
      </c>
      <c r="E784" s="2">
        <v>12</v>
      </c>
      <c r="F784" s="2">
        <v>0</v>
      </c>
      <c r="G784" s="2">
        <v>0</v>
      </c>
    </row>
    <row r="785" spans="1:7" ht="16" x14ac:dyDescent="0.2">
      <c r="A785" s="2" t="s">
        <v>307</v>
      </c>
      <c r="B785" s="2" t="s">
        <v>886</v>
      </c>
      <c r="C785" s="2" t="s">
        <v>1407</v>
      </c>
      <c r="D785" s="2" t="s">
        <v>1408</v>
      </c>
      <c r="E785" s="2">
        <v>12</v>
      </c>
      <c r="F785" s="2">
        <v>0</v>
      </c>
      <c r="G785" s="2">
        <v>0</v>
      </c>
    </row>
    <row r="786" spans="1:7" ht="16" x14ac:dyDescent="0.2">
      <c r="A786" s="2" t="s">
        <v>307</v>
      </c>
      <c r="B786" s="2" t="s">
        <v>886</v>
      </c>
      <c r="C786" s="2" t="s">
        <v>1408</v>
      </c>
      <c r="D786" s="2" t="s">
        <v>1409</v>
      </c>
      <c r="E786" s="2">
        <v>12</v>
      </c>
      <c r="F786" s="2">
        <v>0</v>
      </c>
      <c r="G786" s="2">
        <v>0</v>
      </c>
    </row>
    <row r="787" spans="1:7" ht="16" x14ac:dyDescent="0.2">
      <c r="A787" s="2" t="s">
        <v>307</v>
      </c>
      <c r="B787" s="2" t="s">
        <v>886</v>
      </c>
      <c r="C787" s="2" t="s">
        <v>1409</v>
      </c>
      <c r="D787" s="2" t="s">
        <v>1410</v>
      </c>
      <c r="E787" s="2">
        <v>12</v>
      </c>
      <c r="F787" s="2">
        <v>0</v>
      </c>
      <c r="G787" s="2">
        <v>0</v>
      </c>
    </row>
    <row r="788" spans="1:7" ht="16" x14ac:dyDescent="0.2">
      <c r="A788" s="2" t="s">
        <v>307</v>
      </c>
      <c r="B788" s="2" t="s">
        <v>886</v>
      </c>
      <c r="C788" s="2" t="s">
        <v>1410</v>
      </c>
      <c r="D788" s="2" t="s">
        <v>1411</v>
      </c>
      <c r="E788" s="2">
        <v>12</v>
      </c>
      <c r="F788" s="2">
        <v>0</v>
      </c>
      <c r="G788" s="2">
        <v>0</v>
      </c>
    </row>
    <row r="789" spans="1:7" ht="16" x14ac:dyDescent="0.2">
      <c r="A789" s="2" t="s">
        <v>307</v>
      </c>
      <c r="B789" s="2" t="s">
        <v>886</v>
      </c>
      <c r="C789" s="2" t="s">
        <v>1411</v>
      </c>
      <c r="D789" s="2" t="s">
        <v>1412</v>
      </c>
      <c r="E789" s="2">
        <v>12</v>
      </c>
      <c r="F789" s="2">
        <v>0</v>
      </c>
      <c r="G789" s="2">
        <v>0</v>
      </c>
    </row>
    <row r="790" spans="1:7" ht="16" x14ac:dyDescent="0.2">
      <c r="A790" s="2" t="s">
        <v>307</v>
      </c>
      <c r="B790" s="2" t="s">
        <v>886</v>
      </c>
      <c r="C790" s="2" t="s">
        <v>1412</v>
      </c>
      <c r="D790" s="2" t="s">
        <v>1413</v>
      </c>
      <c r="E790" s="2">
        <v>12</v>
      </c>
      <c r="F790" s="2">
        <v>0</v>
      </c>
      <c r="G790" s="2">
        <v>0</v>
      </c>
    </row>
    <row r="791" spans="1:7" ht="16" x14ac:dyDescent="0.2">
      <c r="A791" s="2" t="s">
        <v>307</v>
      </c>
      <c r="B791" s="2" t="s">
        <v>886</v>
      </c>
      <c r="C791" s="2" t="s">
        <v>1413</v>
      </c>
      <c r="D791" s="2" t="s">
        <v>1414</v>
      </c>
      <c r="E791" s="2">
        <v>12</v>
      </c>
      <c r="F791" s="2">
        <v>0</v>
      </c>
      <c r="G791" s="2">
        <v>0</v>
      </c>
    </row>
    <row r="792" spans="1:7" ht="16" x14ac:dyDescent="0.2">
      <c r="A792" s="2" t="s">
        <v>307</v>
      </c>
      <c r="B792" s="2" t="s">
        <v>886</v>
      </c>
      <c r="C792" s="2" t="s">
        <v>1414</v>
      </c>
      <c r="D792" s="2" t="s">
        <v>1415</v>
      </c>
      <c r="E792" s="2">
        <v>12</v>
      </c>
      <c r="F792" s="2">
        <v>0</v>
      </c>
      <c r="G792" s="2">
        <v>0</v>
      </c>
    </row>
    <row r="793" spans="1:7" ht="16" x14ac:dyDescent="0.2">
      <c r="A793" s="2" t="s">
        <v>307</v>
      </c>
      <c r="B793" s="2" t="s">
        <v>886</v>
      </c>
      <c r="C793" s="2" t="s">
        <v>1415</v>
      </c>
      <c r="D793" s="2" t="s">
        <v>1416</v>
      </c>
      <c r="E793" s="2">
        <v>12</v>
      </c>
      <c r="F793" s="2">
        <v>0</v>
      </c>
      <c r="G793" s="2">
        <v>0</v>
      </c>
    </row>
    <row r="794" spans="1:7" ht="16" x14ac:dyDescent="0.2">
      <c r="A794" s="2" t="s">
        <v>307</v>
      </c>
      <c r="B794" s="2" t="s">
        <v>886</v>
      </c>
      <c r="C794" s="2" t="s">
        <v>1416</v>
      </c>
      <c r="D794" s="2" t="s">
        <v>1417</v>
      </c>
      <c r="E794" s="2">
        <v>12</v>
      </c>
      <c r="F794" s="2">
        <v>0</v>
      </c>
      <c r="G794" s="2">
        <v>0</v>
      </c>
    </row>
    <row r="795" spans="1:7" ht="16" x14ac:dyDescent="0.2">
      <c r="A795" s="2" t="s">
        <v>307</v>
      </c>
      <c r="B795" s="2" t="s">
        <v>886</v>
      </c>
      <c r="C795" s="2" t="s">
        <v>1417</v>
      </c>
      <c r="D795" s="2" t="s">
        <v>1418</v>
      </c>
      <c r="E795" s="2">
        <v>12</v>
      </c>
      <c r="F795" s="2">
        <v>0</v>
      </c>
      <c r="G795" s="2">
        <v>0</v>
      </c>
    </row>
    <row r="796" spans="1:7" ht="16" x14ac:dyDescent="0.2">
      <c r="A796" s="2" t="s">
        <v>307</v>
      </c>
      <c r="B796" s="2" t="s">
        <v>886</v>
      </c>
      <c r="C796" s="2" t="s">
        <v>1418</v>
      </c>
      <c r="D796" s="2" t="s">
        <v>1419</v>
      </c>
      <c r="E796" s="2">
        <v>12</v>
      </c>
      <c r="F796" s="2">
        <v>0</v>
      </c>
      <c r="G796" s="2">
        <v>0</v>
      </c>
    </row>
    <row r="797" spans="1:7" ht="16" x14ac:dyDescent="0.2">
      <c r="A797" s="2" t="s">
        <v>307</v>
      </c>
      <c r="B797" s="2" t="s">
        <v>886</v>
      </c>
      <c r="C797" s="2" t="s">
        <v>1419</v>
      </c>
      <c r="D797" s="2" t="s">
        <v>1420</v>
      </c>
      <c r="E797" s="2">
        <v>12</v>
      </c>
      <c r="F797" s="2">
        <v>0</v>
      </c>
      <c r="G797" s="2">
        <v>0</v>
      </c>
    </row>
    <row r="798" spans="1:7" ht="16" x14ac:dyDescent="0.2">
      <c r="A798" s="2" t="s">
        <v>307</v>
      </c>
      <c r="B798" s="2" t="s">
        <v>886</v>
      </c>
      <c r="C798" s="2" t="s">
        <v>1420</v>
      </c>
      <c r="D798" s="2" t="s">
        <v>1421</v>
      </c>
      <c r="E798" s="2">
        <v>12</v>
      </c>
      <c r="F798" s="2">
        <v>0</v>
      </c>
      <c r="G798" s="2">
        <v>0</v>
      </c>
    </row>
    <row r="799" spans="1:7" ht="16" x14ac:dyDescent="0.2">
      <c r="A799" s="2" t="s">
        <v>307</v>
      </c>
      <c r="B799" s="2" t="s">
        <v>803</v>
      </c>
      <c r="C799" s="2" t="s">
        <v>773</v>
      </c>
      <c r="D799" s="2" t="s">
        <v>1422</v>
      </c>
      <c r="E799" s="2">
        <v>0.83</v>
      </c>
      <c r="F799" s="2">
        <v>2000</v>
      </c>
      <c r="G799" s="2">
        <v>11.11</v>
      </c>
    </row>
    <row r="800" spans="1:7" ht="16" x14ac:dyDescent="0.2">
      <c r="A800" s="2" t="s">
        <v>307</v>
      </c>
      <c r="B800" s="2" t="s">
        <v>803</v>
      </c>
      <c r="C800" s="2" t="s">
        <v>1422</v>
      </c>
      <c r="D800" s="2" t="s">
        <v>1423</v>
      </c>
      <c r="E800" s="2">
        <v>12.42</v>
      </c>
      <c r="F800" s="2">
        <v>52000</v>
      </c>
      <c r="G800" s="2">
        <v>74.290000000000006</v>
      </c>
    </row>
    <row r="801" spans="1:7" ht="16" x14ac:dyDescent="0.2">
      <c r="A801" s="2" t="s">
        <v>307</v>
      </c>
      <c r="B801" s="2" t="s">
        <v>803</v>
      </c>
      <c r="C801" s="2" t="s">
        <v>1423</v>
      </c>
      <c r="D801" s="2" t="s">
        <v>1424</v>
      </c>
      <c r="E801" s="2">
        <v>11.25</v>
      </c>
      <c r="F801" s="2">
        <v>20000</v>
      </c>
      <c r="G801" s="2">
        <v>22.22</v>
      </c>
    </row>
    <row r="802" spans="1:7" ht="16" x14ac:dyDescent="0.2">
      <c r="A802" s="2" t="s">
        <v>307</v>
      </c>
      <c r="B802" s="2" t="s">
        <v>803</v>
      </c>
      <c r="C802" s="2" t="s">
        <v>1424</v>
      </c>
      <c r="D802" s="2" t="s">
        <v>1425</v>
      </c>
      <c r="E802" s="2">
        <v>12.75</v>
      </c>
      <c r="F802" s="2">
        <v>10000</v>
      </c>
      <c r="G802" s="2">
        <v>10</v>
      </c>
    </row>
    <row r="803" spans="1:7" ht="16" x14ac:dyDescent="0.2">
      <c r="A803" s="2" t="s">
        <v>307</v>
      </c>
      <c r="B803" s="2" t="s">
        <v>803</v>
      </c>
      <c r="C803" s="2" t="s">
        <v>1425</v>
      </c>
      <c r="D803" s="2" t="s">
        <v>1426</v>
      </c>
      <c r="E803" s="2">
        <v>12</v>
      </c>
      <c r="F803" s="2">
        <v>5000</v>
      </c>
      <c r="G803" s="2">
        <v>4.76</v>
      </c>
    </row>
    <row r="804" spans="1:7" ht="16" x14ac:dyDescent="0.2">
      <c r="A804" s="2" t="s">
        <v>307</v>
      </c>
      <c r="B804" s="2" t="s">
        <v>803</v>
      </c>
      <c r="C804" s="2" t="s">
        <v>1426</v>
      </c>
      <c r="D804" s="2" t="s">
        <v>1427</v>
      </c>
      <c r="E804" s="2">
        <v>12.25</v>
      </c>
      <c r="F804" s="2">
        <v>4000</v>
      </c>
      <c r="G804" s="2">
        <v>3.67</v>
      </c>
    </row>
    <row r="805" spans="1:7" ht="16" x14ac:dyDescent="0.2">
      <c r="A805" s="2" t="s">
        <v>307</v>
      </c>
      <c r="B805" s="2" t="s">
        <v>803</v>
      </c>
      <c r="C805" s="2" t="s">
        <v>1427</v>
      </c>
      <c r="D805" s="2" t="s">
        <v>1428</v>
      </c>
      <c r="E805" s="2">
        <v>12</v>
      </c>
      <c r="F805" s="2">
        <v>2000</v>
      </c>
      <c r="G805" s="2">
        <v>1.8</v>
      </c>
    </row>
    <row r="806" spans="1:7" ht="16" x14ac:dyDescent="0.2">
      <c r="A806" s="2" t="s">
        <v>307</v>
      </c>
      <c r="B806" s="2" t="s">
        <v>803</v>
      </c>
      <c r="C806" s="2" t="s">
        <v>1428</v>
      </c>
      <c r="D806" s="2" t="s">
        <v>1429</v>
      </c>
      <c r="E806" s="2">
        <v>11.75</v>
      </c>
      <c r="F806" s="2">
        <v>2000</v>
      </c>
      <c r="G806" s="2">
        <v>1.77</v>
      </c>
    </row>
    <row r="807" spans="1:7" ht="16" x14ac:dyDescent="0.2">
      <c r="A807" s="2" t="s">
        <v>307</v>
      </c>
      <c r="B807" s="2" t="s">
        <v>803</v>
      </c>
      <c r="C807" s="2" t="s">
        <v>1429</v>
      </c>
      <c r="D807" s="2" t="s">
        <v>1430</v>
      </c>
      <c r="E807" s="2">
        <v>12.25</v>
      </c>
      <c r="F807" s="2">
        <v>4000</v>
      </c>
      <c r="G807" s="2">
        <v>3.42</v>
      </c>
    </row>
    <row r="808" spans="1:7" ht="16" x14ac:dyDescent="0.2">
      <c r="A808" s="2" t="s">
        <v>307</v>
      </c>
      <c r="B808" s="2" t="s">
        <v>803</v>
      </c>
      <c r="C808" s="2" t="s">
        <v>1430</v>
      </c>
      <c r="D808" s="2" t="s">
        <v>1431</v>
      </c>
      <c r="E808" s="2">
        <v>11.75</v>
      </c>
      <c r="F808" s="2">
        <v>8000</v>
      </c>
      <c r="G808" s="2">
        <v>6.4</v>
      </c>
    </row>
    <row r="809" spans="1:7" ht="16" x14ac:dyDescent="0.2">
      <c r="A809" s="2" t="s">
        <v>307</v>
      </c>
      <c r="B809" s="2" t="s">
        <v>803</v>
      </c>
      <c r="C809" s="2" t="s">
        <v>1431</v>
      </c>
      <c r="D809" s="2" t="s">
        <v>1432</v>
      </c>
      <c r="E809" s="2">
        <v>1</v>
      </c>
      <c r="F809" s="2">
        <v>0</v>
      </c>
      <c r="G809" s="2">
        <v>0</v>
      </c>
    </row>
    <row r="810" spans="1:7" ht="16" x14ac:dyDescent="0.2">
      <c r="A810" s="2" t="s">
        <v>307</v>
      </c>
      <c r="B810" s="2" t="s">
        <v>803</v>
      </c>
      <c r="C810" s="2" t="s">
        <v>1432</v>
      </c>
      <c r="D810" s="2" t="s">
        <v>1433</v>
      </c>
      <c r="E810" s="2">
        <v>11</v>
      </c>
      <c r="F810" s="2">
        <v>5000</v>
      </c>
      <c r="G810" s="2">
        <v>3.85</v>
      </c>
    </row>
    <row r="811" spans="1:7" ht="16" x14ac:dyDescent="0.2">
      <c r="A811" s="2" t="s">
        <v>307</v>
      </c>
      <c r="B811" s="2" t="s">
        <v>803</v>
      </c>
      <c r="C811" s="2" t="s">
        <v>1433</v>
      </c>
      <c r="D811" s="2" t="s">
        <v>1434</v>
      </c>
      <c r="E811" s="2">
        <v>12</v>
      </c>
      <c r="F811" s="2">
        <v>5000</v>
      </c>
      <c r="G811" s="2">
        <v>3.7</v>
      </c>
    </row>
    <row r="812" spans="1:7" ht="16" x14ac:dyDescent="0.2">
      <c r="A812" s="2" t="s">
        <v>307</v>
      </c>
      <c r="B812" s="2" t="s">
        <v>803</v>
      </c>
      <c r="C812" s="2" t="s">
        <v>1434</v>
      </c>
      <c r="D812" s="2" t="s">
        <v>1435</v>
      </c>
      <c r="E812" s="2">
        <v>12</v>
      </c>
      <c r="F812" s="2">
        <v>3000</v>
      </c>
      <c r="G812" s="2">
        <v>2.17</v>
      </c>
    </row>
    <row r="813" spans="1:7" ht="16" x14ac:dyDescent="0.2">
      <c r="A813" s="2" t="s">
        <v>307</v>
      </c>
      <c r="B813" s="2" t="s">
        <v>803</v>
      </c>
      <c r="C813" s="2" t="s">
        <v>1435</v>
      </c>
      <c r="D813" s="2" t="s">
        <v>1436</v>
      </c>
      <c r="E813" s="2">
        <v>12</v>
      </c>
      <c r="F813" s="2">
        <v>2000</v>
      </c>
      <c r="G813" s="2">
        <v>1.43</v>
      </c>
    </row>
    <row r="814" spans="1:7" ht="16" x14ac:dyDescent="0.2">
      <c r="A814" s="2" t="s">
        <v>307</v>
      </c>
      <c r="B814" s="2" t="s">
        <v>803</v>
      </c>
      <c r="C814" s="2" t="s">
        <v>1436</v>
      </c>
      <c r="D814" s="2" t="s">
        <v>1437</v>
      </c>
      <c r="E814" s="2">
        <v>12</v>
      </c>
      <c r="F814" s="2">
        <v>1000</v>
      </c>
      <c r="G814" s="2">
        <v>0.71</v>
      </c>
    </row>
    <row r="815" spans="1:7" ht="16" x14ac:dyDescent="0.2">
      <c r="A815" s="2" t="s">
        <v>307</v>
      </c>
      <c r="B815" s="2" t="s">
        <v>803</v>
      </c>
      <c r="C815" s="2" t="s">
        <v>1437</v>
      </c>
      <c r="D815" s="2" t="s">
        <v>1438</v>
      </c>
      <c r="E815" s="2">
        <v>12</v>
      </c>
      <c r="F815" s="2">
        <v>1000</v>
      </c>
      <c r="G815" s="2">
        <v>0.7</v>
      </c>
    </row>
    <row r="816" spans="1:7" ht="16" x14ac:dyDescent="0.2">
      <c r="A816" s="2" t="s">
        <v>307</v>
      </c>
      <c r="B816" s="2" t="s">
        <v>803</v>
      </c>
      <c r="C816" s="2" t="s">
        <v>1438</v>
      </c>
      <c r="D816" s="2" t="s">
        <v>1439</v>
      </c>
      <c r="E816" s="2">
        <v>11.75</v>
      </c>
      <c r="F816" s="2">
        <v>4000</v>
      </c>
      <c r="G816" s="2">
        <v>2.74</v>
      </c>
    </row>
    <row r="817" spans="1:7" ht="16" x14ac:dyDescent="0.2">
      <c r="A817" s="2" t="s">
        <v>307</v>
      </c>
      <c r="B817" s="2" t="s">
        <v>803</v>
      </c>
      <c r="C817" s="2" t="s">
        <v>1439</v>
      </c>
      <c r="D817" s="2" t="s">
        <v>1440</v>
      </c>
      <c r="E817" s="2">
        <v>12.25</v>
      </c>
      <c r="F817" s="2">
        <v>2000</v>
      </c>
      <c r="G817" s="2">
        <v>1.35</v>
      </c>
    </row>
    <row r="818" spans="1:7" ht="16" x14ac:dyDescent="0.2">
      <c r="A818" s="2" t="s">
        <v>307</v>
      </c>
      <c r="B818" s="2" t="s">
        <v>803</v>
      </c>
      <c r="C818" s="2" t="s">
        <v>1440</v>
      </c>
      <c r="D818" s="2" t="s">
        <v>1441</v>
      </c>
      <c r="E818" s="2">
        <v>11.75</v>
      </c>
      <c r="F818" s="2">
        <v>1000</v>
      </c>
      <c r="G818" s="2">
        <v>0.67</v>
      </c>
    </row>
    <row r="819" spans="1:7" ht="16" x14ac:dyDescent="0.2">
      <c r="A819" s="2" t="s">
        <v>307</v>
      </c>
      <c r="B819" s="2" t="s">
        <v>803</v>
      </c>
      <c r="C819" s="2" t="s">
        <v>1441</v>
      </c>
      <c r="D819" s="2" t="s">
        <v>1442</v>
      </c>
      <c r="E819" s="2">
        <v>12.25</v>
      </c>
      <c r="F819" s="2">
        <v>500</v>
      </c>
      <c r="G819" s="2">
        <v>0.33</v>
      </c>
    </row>
    <row r="820" spans="1:7" ht="16" x14ac:dyDescent="0.2">
      <c r="A820" s="2" t="s">
        <v>307</v>
      </c>
      <c r="B820" s="2" t="s">
        <v>803</v>
      </c>
      <c r="C820" s="2" t="s">
        <v>1442</v>
      </c>
      <c r="D820" s="2" t="s">
        <v>1443</v>
      </c>
      <c r="E820" s="2">
        <v>12</v>
      </c>
      <c r="F820" s="2">
        <v>500</v>
      </c>
      <c r="G820" s="2">
        <v>0.33</v>
      </c>
    </row>
    <row r="821" spans="1:7" ht="16" x14ac:dyDescent="0.2">
      <c r="A821" s="2" t="s">
        <v>307</v>
      </c>
      <c r="B821" s="2" t="s">
        <v>803</v>
      </c>
      <c r="C821" s="2" t="s">
        <v>1443</v>
      </c>
      <c r="D821" s="2" t="s">
        <v>1444</v>
      </c>
      <c r="E821" s="2">
        <v>12</v>
      </c>
      <c r="F821" s="2">
        <v>1000</v>
      </c>
      <c r="G821" s="2">
        <v>0.66</v>
      </c>
    </row>
    <row r="822" spans="1:7" ht="16" x14ac:dyDescent="0.2">
      <c r="A822" s="2" t="s">
        <v>307</v>
      </c>
      <c r="B822" s="2" t="s">
        <v>803</v>
      </c>
      <c r="C822" s="2" t="s">
        <v>1444</v>
      </c>
      <c r="D822" s="2" t="s">
        <v>1445</v>
      </c>
      <c r="E822" s="2">
        <v>10.75</v>
      </c>
      <c r="F822" s="2">
        <v>272</v>
      </c>
      <c r="G822" s="2">
        <v>0.18</v>
      </c>
    </row>
    <row r="823" spans="1:7" ht="16" x14ac:dyDescent="0.2">
      <c r="A823" s="2" t="s">
        <v>307</v>
      </c>
      <c r="B823" s="2" t="s">
        <v>803</v>
      </c>
      <c r="C823" s="2" t="s">
        <v>1445</v>
      </c>
      <c r="D823" s="2" t="s">
        <v>1446</v>
      </c>
      <c r="E823" s="2">
        <v>13.25</v>
      </c>
      <c r="F823" s="2">
        <v>101</v>
      </c>
      <c r="G823" s="2">
        <v>7.0000000000000007E-2</v>
      </c>
    </row>
    <row r="824" spans="1:7" ht="16" x14ac:dyDescent="0.2">
      <c r="A824" s="2" t="s">
        <v>307</v>
      </c>
      <c r="B824" s="2" t="s">
        <v>803</v>
      </c>
      <c r="C824" s="2" t="s">
        <v>1446</v>
      </c>
      <c r="D824" s="2" t="s">
        <v>1447</v>
      </c>
      <c r="E824" s="2">
        <v>12</v>
      </c>
      <c r="F824" s="2">
        <v>877</v>
      </c>
      <c r="G824" s="2">
        <v>0.57999999999999996</v>
      </c>
    </row>
    <row r="825" spans="1:7" ht="16" x14ac:dyDescent="0.2">
      <c r="A825" s="2" t="s">
        <v>307</v>
      </c>
      <c r="B825" s="2" t="s">
        <v>803</v>
      </c>
      <c r="C825" s="2" t="s">
        <v>1447</v>
      </c>
      <c r="D825" s="2" t="s">
        <v>1448</v>
      </c>
      <c r="E825" s="2">
        <v>12</v>
      </c>
      <c r="F825" s="2">
        <v>1086</v>
      </c>
      <c r="G825" s="2">
        <v>0.71</v>
      </c>
    </row>
    <row r="826" spans="1:7" ht="16" x14ac:dyDescent="0.2">
      <c r="A826" s="2" t="s">
        <v>307</v>
      </c>
      <c r="B826" s="2" t="s">
        <v>803</v>
      </c>
      <c r="C826" s="2" t="s">
        <v>1448</v>
      </c>
      <c r="D826" s="2" t="s">
        <v>1449</v>
      </c>
      <c r="E826" s="2">
        <v>12</v>
      </c>
      <c r="F826" s="2">
        <v>0</v>
      </c>
      <c r="G826" s="2">
        <v>0</v>
      </c>
    </row>
    <row r="827" spans="1:7" ht="16" x14ac:dyDescent="0.2">
      <c r="A827" s="2" t="s">
        <v>307</v>
      </c>
      <c r="B827" s="2" t="s">
        <v>803</v>
      </c>
      <c r="C827" s="2" t="s">
        <v>1449</v>
      </c>
      <c r="D827" s="2" t="s">
        <v>1450</v>
      </c>
      <c r="E827" s="2">
        <v>12.25</v>
      </c>
      <c r="F827" s="2">
        <v>0</v>
      </c>
      <c r="G827" s="2">
        <v>0</v>
      </c>
    </row>
    <row r="828" spans="1:7" ht="16" x14ac:dyDescent="0.2">
      <c r="A828" s="2" t="s">
        <v>307</v>
      </c>
      <c r="B828" s="2" t="s">
        <v>803</v>
      </c>
      <c r="C828" s="2" t="s">
        <v>1450</v>
      </c>
      <c r="D828" s="2" t="s">
        <v>1451</v>
      </c>
      <c r="E828" s="2">
        <v>9.25</v>
      </c>
      <c r="F828" s="2">
        <v>0</v>
      </c>
      <c r="G828" s="2">
        <v>0</v>
      </c>
    </row>
    <row r="829" spans="1:7" ht="16" x14ac:dyDescent="0.2">
      <c r="A829" s="2" t="s">
        <v>307</v>
      </c>
      <c r="B829" s="2" t="s">
        <v>803</v>
      </c>
      <c r="C829" s="2" t="s">
        <v>1451</v>
      </c>
      <c r="D829" s="2" t="s">
        <v>1452</v>
      </c>
      <c r="E829" s="2">
        <v>14.5</v>
      </c>
      <c r="F829" s="2">
        <v>0</v>
      </c>
      <c r="G829" s="2">
        <v>0</v>
      </c>
    </row>
    <row r="830" spans="1:7" ht="16" x14ac:dyDescent="0.2">
      <c r="A830" s="2" t="s">
        <v>307</v>
      </c>
      <c r="B830" s="2" t="s">
        <v>803</v>
      </c>
      <c r="C830" s="2" t="s">
        <v>1452</v>
      </c>
      <c r="D830" s="2" t="s">
        <v>1453</v>
      </c>
      <c r="E830" s="2">
        <v>11.75</v>
      </c>
      <c r="F830" s="2">
        <v>0</v>
      </c>
      <c r="G830" s="2">
        <v>0</v>
      </c>
    </row>
    <row r="831" spans="1:7" ht="16" x14ac:dyDescent="0.2">
      <c r="A831" s="2" t="s">
        <v>307</v>
      </c>
      <c r="B831" s="2" t="s">
        <v>803</v>
      </c>
      <c r="C831" s="2" t="s">
        <v>1453</v>
      </c>
      <c r="D831" s="2" t="s">
        <v>1454</v>
      </c>
      <c r="E831" s="2">
        <v>12</v>
      </c>
      <c r="F831" s="2">
        <v>0</v>
      </c>
      <c r="G831" s="2">
        <v>0</v>
      </c>
    </row>
    <row r="832" spans="1:7" ht="16" x14ac:dyDescent="0.2">
      <c r="A832" s="2" t="s">
        <v>307</v>
      </c>
      <c r="B832" s="2" t="s">
        <v>803</v>
      </c>
      <c r="C832" s="2" t="s">
        <v>1454</v>
      </c>
      <c r="D832" s="2" t="s">
        <v>1455</v>
      </c>
      <c r="E832" s="2">
        <v>12</v>
      </c>
      <c r="F832" s="2">
        <v>0</v>
      </c>
      <c r="G832" s="2">
        <v>0</v>
      </c>
    </row>
    <row r="833" spans="1:7" ht="16" x14ac:dyDescent="0.2">
      <c r="A833" s="2" t="s">
        <v>307</v>
      </c>
      <c r="B833" s="2" t="s">
        <v>803</v>
      </c>
      <c r="C833" s="2" t="s">
        <v>1455</v>
      </c>
      <c r="D833" s="2" t="s">
        <v>1456</v>
      </c>
      <c r="E833" s="2">
        <v>12.5</v>
      </c>
      <c r="F833" s="2">
        <v>0</v>
      </c>
      <c r="G833" s="2">
        <v>0</v>
      </c>
    </row>
    <row r="834" spans="1:7" ht="16" x14ac:dyDescent="0.2">
      <c r="A834" s="2" t="s">
        <v>307</v>
      </c>
      <c r="B834" s="2" t="s">
        <v>803</v>
      </c>
      <c r="C834" s="2" t="s">
        <v>1456</v>
      </c>
      <c r="D834" s="2" t="s">
        <v>1457</v>
      </c>
      <c r="E834" s="2">
        <v>1</v>
      </c>
      <c r="F834" s="2">
        <v>0</v>
      </c>
      <c r="G834" s="2">
        <v>0</v>
      </c>
    </row>
    <row r="835" spans="1:7" ht="16" x14ac:dyDescent="0.2">
      <c r="A835" s="2" t="s">
        <v>307</v>
      </c>
      <c r="B835" s="2" t="s">
        <v>803</v>
      </c>
      <c r="C835" s="2" t="s">
        <v>1457</v>
      </c>
      <c r="D835" s="2" t="s">
        <v>1458</v>
      </c>
      <c r="E835" s="2">
        <v>10.5</v>
      </c>
      <c r="F835" s="2">
        <v>0</v>
      </c>
      <c r="G835" s="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90" customWidth="1"/>
    <col min="3" max="4" width="16" customWidth="1"/>
    <col min="5" max="5" width="60" customWidth="1"/>
    <col min="6" max="6" width="14" customWidth="1"/>
  </cols>
  <sheetData>
    <row r="1" spans="1:6" ht="32" x14ac:dyDescent="0.2">
      <c r="A1" s="1" t="s">
        <v>272</v>
      </c>
      <c r="B1" s="1" t="s">
        <v>1459</v>
      </c>
      <c r="C1" s="1" t="s">
        <v>1460</v>
      </c>
      <c r="D1" s="1" t="s">
        <v>1461</v>
      </c>
      <c r="E1" s="1" t="s">
        <v>1462</v>
      </c>
      <c r="F1" s="1" t="s">
        <v>1463</v>
      </c>
    </row>
    <row r="2" spans="1:6" ht="32" x14ac:dyDescent="0.2">
      <c r="A2" s="2" t="s">
        <v>276</v>
      </c>
      <c r="B2" s="2" t="s">
        <v>1464</v>
      </c>
      <c r="C2" s="2">
        <v>0</v>
      </c>
      <c r="D2" s="2">
        <v>52</v>
      </c>
      <c r="E2" s="2" t="s">
        <v>1465</v>
      </c>
      <c r="F2" s="2">
        <v>1</v>
      </c>
    </row>
    <row r="3" spans="1:6" ht="32" x14ac:dyDescent="0.2">
      <c r="A3" s="2" t="s">
        <v>298</v>
      </c>
      <c r="B3" s="2" t="s">
        <v>1466</v>
      </c>
      <c r="C3" s="2">
        <v>6</v>
      </c>
      <c r="D3" s="2">
        <v>111</v>
      </c>
      <c r="E3" s="2" t="s">
        <v>1467</v>
      </c>
      <c r="F3" s="2">
        <v>0</v>
      </c>
    </row>
    <row r="4" spans="1:6" ht="32" x14ac:dyDescent="0.2">
      <c r="A4" s="2" t="s">
        <v>307</v>
      </c>
      <c r="B4" s="2" t="s">
        <v>1468</v>
      </c>
      <c r="C4" s="2">
        <v>4</v>
      </c>
      <c r="D4" s="2">
        <v>124</v>
      </c>
      <c r="E4" s="2" t="s">
        <v>1469</v>
      </c>
      <c r="F4" s="2">
        <v>0</v>
      </c>
    </row>
    <row r="5" spans="1:6" ht="32" x14ac:dyDescent="0.2">
      <c r="A5" s="2" t="s">
        <v>316</v>
      </c>
      <c r="B5" s="2" t="s">
        <v>1470</v>
      </c>
      <c r="C5" s="2">
        <v>120</v>
      </c>
      <c r="D5" s="2">
        <v>477</v>
      </c>
      <c r="E5" s="2" t="s">
        <v>1471</v>
      </c>
      <c r="F5" s="2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10" customWidth="1"/>
    <col min="4" max="4" width="26" customWidth="1"/>
    <col min="5" max="5" width="30" customWidth="1"/>
    <col min="6" max="6" width="70" customWidth="1"/>
  </cols>
  <sheetData>
    <row r="1" spans="1:6" ht="16" x14ac:dyDescent="0.2">
      <c r="A1" s="1" t="s">
        <v>272</v>
      </c>
      <c r="B1" s="1" t="s">
        <v>1472</v>
      </c>
      <c r="C1" s="1" t="s">
        <v>1473</v>
      </c>
      <c r="D1" s="1" t="s">
        <v>23</v>
      </c>
      <c r="E1" s="1" t="s">
        <v>1474</v>
      </c>
      <c r="F1" s="1" t="s">
        <v>1475</v>
      </c>
    </row>
    <row r="2" spans="1:6" ht="32" x14ac:dyDescent="0.2">
      <c r="A2" s="2" t="s">
        <v>298</v>
      </c>
      <c r="B2" s="2" t="s">
        <v>1476</v>
      </c>
      <c r="C2" s="2">
        <v>1479</v>
      </c>
      <c r="D2" s="2" t="s">
        <v>1477</v>
      </c>
      <c r="E2" s="2" t="s">
        <v>1478</v>
      </c>
      <c r="F2" s="2" t="s">
        <v>1479</v>
      </c>
    </row>
    <row r="3" spans="1:6" ht="32" x14ac:dyDescent="0.2">
      <c r="A3" s="2" t="s">
        <v>298</v>
      </c>
      <c r="B3" s="2" t="s">
        <v>1480</v>
      </c>
      <c r="C3" s="2">
        <v>3128</v>
      </c>
      <c r="D3" s="2" t="s">
        <v>1477</v>
      </c>
      <c r="E3" s="2" t="s">
        <v>1481</v>
      </c>
      <c r="F3" s="2" t="s">
        <v>1479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50" customWidth="1"/>
    <col min="4" max="4" width="16" customWidth="1"/>
    <col min="5" max="5" width="14" customWidth="1"/>
    <col min="6" max="6" width="18" customWidth="1"/>
    <col min="7" max="7" width="14" customWidth="1"/>
  </cols>
  <sheetData>
    <row r="1" spans="1:7" ht="32" x14ac:dyDescent="0.2">
      <c r="A1" s="1" t="s">
        <v>272</v>
      </c>
      <c r="B1" s="1" t="s">
        <v>1482</v>
      </c>
      <c r="C1" s="1" t="s">
        <v>23</v>
      </c>
      <c r="D1" s="1" t="s">
        <v>1483</v>
      </c>
      <c r="E1" s="1" t="s">
        <v>1484</v>
      </c>
      <c r="F1" s="1" t="s">
        <v>1485</v>
      </c>
      <c r="G1" s="1" t="s">
        <v>1486</v>
      </c>
    </row>
    <row r="2" spans="1:7" ht="16" x14ac:dyDescent="0.2">
      <c r="A2" s="2" t="s">
        <v>316</v>
      </c>
      <c r="B2" s="2" t="s">
        <v>1060</v>
      </c>
      <c r="C2" s="2" t="s">
        <v>1487</v>
      </c>
      <c r="D2" s="2" t="s">
        <v>1488</v>
      </c>
      <c r="E2" s="2">
        <v>3722</v>
      </c>
      <c r="F2" s="2">
        <v>3598</v>
      </c>
      <c r="G2" s="2">
        <v>0.96699999999999997</v>
      </c>
    </row>
    <row r="3" spans="1:7" ht="16" x14ac:dyDescent="0.2">
      <c r="A3" s="2" t="s">
        <v>316</v>
      </c>
      <c r="B3" s="2" t="s">
        <v>1072</v>
      </c>
      <c r="C3" s="2" t="s">
        <v>1487</v>
      </c>
      <c r="D3" s="2" t="s">
        <v>1488</v>
      </c>
      <c r="E3" s="2">
        <v>8088</v>
      </c>
      <c r="F3" s="2">
        <v>6285</v>
      </c>
      <c r="G3" s="2">
        <v>0.77700000000000002</v>
      </c>
    </row>
    <row r="4" spans="1:7" ht="16" x14ac:dyDescent="0.2">
      <c r="A4" s="2" t="s">
        <v>316</v>
      </c>
      <c r="B4" s="2" t="s">
        <v>1084</v>
      </c>
      <c r="C4" s="2" t="s">
        <v>1487</v>
      </c>
      <c r="D4" s="2" t="s">
        <v>1488</v>
      </c>
      <c r="E4" s="2">
        <v>53698</v>
      </c>
      <c r="F4" s="2">
        <v>63610</v>
      </c>
      <c r="G4" s="2">
        <v>1.1850000000000001</v>
      </c>
    </row>
    <row r="5" spans="1:7" ht="16" x14ac:dyDescent="0.2">
      <c r="A5" s="2" t="s">
        <v>316</v>
      </c>
      <c r="B5" s="2" t="s">
        <v>1092</v>
      </c>
      <c r="C5" s="2" t="s">
        <v>1489</v>
      </c>
      <c r="D5" s="2" t="s">
        <v>1490</v>
      </c>
      <c r="E5" s="2">
        <v>33025</v>
      </c>
      <c r="F5" s="2">
        <v>135080</v>
      </c>
      <c r="G5" s="2">
        <v>4.09</v>
      </c>
    </row>
    <row r="6" spans="1:7" ht="16" x14ac:dyDescent="0.2">
      <c r="A6" s="2" t="s">
        <v>316</v>
      </c>
      <c r="B6" s="2" t="s">
        <v>1323</v>
      </c>
      <c r="C6" s="2" t="s">
        <v>1489</v>
      </c>
      <c r="D6" s="2" t="s">
        <v>1490</v>
      </c>
      <c r="E6" s="2">
        <v>46225</v>
      </c>
      <c r="F6" s="2">
        <v>135080</v>
      </c>
      <c r="G6" s="2">
        <v>2.9220000000000002</v>
      </c>
    </row>
    <row r="7" spans="1:7" ht="16" x14ac:dyDescent="0.2">
      <c r="A7" s="2" t="s">
        <v>316</v>
      </c>
      <c r="B7" s="2" t="s">
        <v>1096</v>
      </c>
      <c r="C7" s="2" t="s">
        <v>1487</v>
      </c>
      <c r="D7" s="2" t="s">
        <v>1488</v>
      </c>
      <c r="E7" s="2">
        <v>156160</v>
      </c>
      <c r="F7" s="2">
        <v>182575</v>
      </c>
      <c r="G7" s="2">
        <v>1.169</v>
      </c>
    </row>
    <row r="8" spans="1:7" ht="16" x14ac:dyDescent="0.2">
      <c r="A8" s="2" t="s">
        <v>316</v>
      </c>
      <c r="B8" s="2" t="s">
        <v>1324</v>
      </c>
      <c r="C8" s="2" t="s">
        <v>1489</v>
      </c>
      <c r="D8" s="2" t="s">
        <v>1490</v>
      </c>
      <c r="E8" s="2">
        <v>124100</v>
      </c>
      <c r="F8" s="2">
        <v>252158</v>
      </c>
      <c r="G8" s="2">
        <v>2.032</v>
      </c>
    </row>
    <row r="9" spans="1:7" ht="16" x14ac:dyDescent="0.2">
      <c r="A9" s="2" t="s">
        <v>316</v>
      </c>
      <c r="B9" s="2" t="s">
        <v>1108</v>
      </c>
      <c r="C9" s="2" t="s">
        <v>1487</v>
      </c>
      <c r="D9" s="2" t="s">
        <v>1488</v>
      </c>
      <c r="E9" s="2">
        <v>220522</v>
      </c>
      <c r="F9" s="2">
        <v>275416</v>
      </c>
      <c r="G9" s="2">
        <v>1.2490000000000001</v>
      </c>
    </row>
    <row r="10" spans="1:7" ht="16" x14ac:dyDescent="0.2">
      <c r="A10" s="2" t="s">
        <v>316</v>
      </c>
      <c r="B10" s="2" t="s">
        <v>1325</v>
      </c>
      <c r="C10" s="2" t="s">
        <v>1489</v>
      </c>
      <c r="D10" s="2" t="s">
        <v>1490</v>
      </c>
      <c r="E10" s="2">
        <v>131000</v>
      </c>
      <c r="F10" s="2">
        <v>295896</v>
      </c>
      <c r="G10" s="2">
        <v>2.2589999999999999</v>
      </c>
    </row>
    <row r="11" spans="1:7" ht="16" x14ac:dyDescent="0.2">
      <c r="A11" s="2" t="s">
        <v>316</v>
      </c>
      <c r="B11" s="2" t="s">
        <v>1120</v>
      </c>
      <c r="C11" s="2" t="s">
        <v>1487</v>
      </c>
      <c r="D11" s="2" t="s">
        <v>1488</v>
      </c>
      <c r="E11" s="2">
        <v>241875</v>
      </c>
      <c r="F11" s="2">
        <v>301284</v>
      </c>
      <c r="G11" s="2">
        <v>1.246</v>
      </c>
    </row>
    <row r="12" spans="1:7" ht="16" x14ac:dyDescent="0.2">
      <c r="A12" s="2" t="s">
        <v>316</v>
      </c>
      <c r="B12" s="2" t="s">
        <v>1326</v>
      </c>
      <c r="C12" s="2" t="s">
        <v>1489</v>
      </c>
      <c r="D12" s="2" t="s">
        <v>1490</v>
      </c>
      <c r="E12" s="2">
        <v>215000</v>
      </c>
      <c r="F12" s="2">
        <v>321900</v>
      </c>
      <c r="G12" s="2">
        <v>1.4970000000000001</v>
      </c>
    </row>
    <row r="13" spans="1:7" ht="16" x14ac:dyDescent="0.2">
      <c r="A13" s="2" t="s">
        <v>316</v>
      </c>
      <c r="B13" s="2" t="s">
        <v>1327</v>
      </c>
      <c r="C13" s="2" t="s">
        <v>1489</v>
      </c>
      <c r="D13" s="2" t="s">
        <v>1490</v>
      </c>
      <c r="E13" s="2">
        <v>215000</v>
      </c>
      <c r="F13" s="2">
        <v>322753</v>
      </c>
      <c r="G13" s="2">
        <v>1.5009999999999999</v>
      </c>
    </row>
    <row r="14" spans="1:7" ht="16" x14ac:dyDescent="0.2">
      <c r="A14" s="2" t="s">
        <v>316</v>
      </c>
      <c r="B14" s="2" t="s">
        <v>1129</v>
      </c>
      <c r="C14" s="2" t="s">
        <v>1489</v>
      </c>
      <c r="D14" s="2" t="s">
        <v>1490</v>
      </c>
      <c r="E14" s="2">
        <v>215000</v>
      </c>
      <c r="F14" s="2">
        <v>322753</v>
      </c>
      <c r="G14" s="2">
        <v>1.5009999999999999</v>
      </c>
    </row>
    <row r="15" spans="1:7" ht="16" x14ac:dyDescent="0.2">
      <c r="A15" s="2" t="s">
        <v>316</v>
      </c>
      <c r="B15" s="2" t="s">
        <v>1132</v>
      </c>
      <c r="C15" s="2" t="s">
        <v>1487</v>
      </c>
      <c r="D15" s="2" t="s">
        <v>1488</v>
      </c>
      <c r="E15" s="2">
        <v>264250</v>
      </c>
      <c r="F15" s="2">
        <v>324120</v>
      </c>
      <c r="G15" s="2">
        <v>1.2270000000000001</v>
      </c>
    </row>
    <row r="16" spans="1:7" ht="16" x14ac:dyDescent="0.2">
      <c r="A16" s="2" t="s">
        <v>316</v>
      </c>
      <c r="B16" s="2" t="s">
        <v>1328</v>
      </c>
      <c r="C16" s="2" t="s">
        <v>1489</v>
      </c>
      <c r="D16" s="2" t="s">
        <v>1490</v>
      </c>
      <c r="E16" s="2">
        <v>219067</v>
      </c>
      <c r="F16" s="2">
        <v>324148</v>
      </c>
      <c r="G16" s="2">
        <v>1.48</v>
      </c>
    </row>
    <row r="17" spans="1:7" ht="16" x14ac:dyDescent="0.2">
      <c r="A17" s="2" t="s">
        <v>316</v>
      </c>
      <c r="B17" s="2" t="s">
        <v>1144</v>
      </c>
      <c r="C17" s="2" t="s">
        <v>1487</v>
      </c>
      <c r="D17" s="2" t="s">
        <v>1488</v>
      </c>
      <c r="E17" s="2">
        <v>274629</v>
      </c>
      <c r="F17" s="2">
        <v>324148</v>
      </c>
      <c r="G17" s="2">
        <v>1.18</v>
      </c>
    </row>
    <row r="18" spans="1:7" ht="16" x14ac:dyDescent="0.2">
      <c r="A18" s="2" t="s">
        <v>316</v>
      </c>
      <c r="B18" s="2" t="s">
        <v>1151</v>
      </c>
      <c r="C18" s="2" t="s">
        <v>1489</v>
      </c>
      <c r="D18" s="2" t="s">
        <v>1490</v>
      </c>
      <c r="E18" s="2">
        <v>302388</v>
      </c>
      <c r="F18" s="2">
        <v>335639</v>
      </c>
      <c r="G18" s="2">
        <v>1.1100000000000001</v>
      </c>
    </row>
    <row r="19" spans="1:7" ht="16" x14ac:dyDescent="0.2">
      <c r="A19" s="2" t="s">
        <v>316</v>
      </c>
      <c r="B19" s="2" t="s">
        <v>1156</v>
      </c>
      <c r="C19" s="2" t="s">
        <v>1487</v>
      </c>
      <c r="D19" s="2" t="s">
        <v>1488</v>
      </c>
      <c r="E19" s="2">
        <v>335913</v>
      </c>
      <c r="F19" s="2">
        <v>337190</v>
      </c>
      <c r="G19" s="2">
        <v>1.004</v>
      </c>
    </row>
    <row r="20" spans="1:7" ht="16" x14ac:dyDescent="0.2">
      <c r="A20" s="2" t="s">
        <v>316</v>
      </c>
      <c r="B20" s="2" t="s">
        <v>1164</v>
      </c>
      <c r="C20" s="2" t="s">
        <v>1489</v>
      </c>
      <c r="D20" s="2" t="s">
        <v>1490</v>
      </c>
      <c r="E20" s="2">
        <v>314207</v>
      </c>
      <c r="F20" s="2">
        <v>337196</v>
      </c>
      <c r="G20" s="2">
        <v>1.073</v>
      </c>
    </row>
    <row r="21" spans="1:7" ht="16" x14ac:dyDescent="0.2">
      <c r="A21" s="2" t="s">
        <v>316</v>
      </c>
      <c r="B21" s="2" t="s">
        <v>1168</v>
      </c>
      <c r="C21" s="2" t="s">
        <v>1487</v>
      </c>
      <c r="D21" s="2" t="s">
        <v>1488</v>
      </c>
      <c r="E21" s="2">
        <v>334951</v>
      </c>
      <c r="F21" s="2">
        <v>337196</v>
      </c>
      <c r="G21" s="2">
        <v>1.0069999999999999</v>
      </c>
    </row>
    <row r="22" spans="1:7" ht="16" x14ac:dyDescent="0.2">
      <c r="A22" s="2" t="s">
        <v>316</v>
      </c>
      <c r="B22" s="2" t="s">
        <v>1329</v>
      </c>
      <c r="C22" s="2" t="s">
        <v>1489</v>
      </c>
      <c r="D22" s="2" t="s">
        <v>1490</v>
      </c>
      <c r="E22" s="2">
        <v>325128</v>
      </c>
      <c r="F22" s="2">
        <v>344121</v>
      </c>
      <c r="G22" s="2">
        <v>1.0580000000000001</v>
      </c>
    </row>
    <row r="23" spans="1:7" ht="16" x14ac:dyDescent="0.2">
      <c r="A23" s="2" t="s">
        <v>316</v>
      </c>
      <c r="B23" s="2" t="s">
        <v>1180</v>
      </c>
      <c r="C23" s="2" t="s">
        <v>1487</v>
      </c>
      <c r="D23" s="2" t="s">
        <v>1488</v>
      </c>
      <c r="E23" s="2">
        <v>340315</v>
      </c>
      <c r="F23" s="2">
        <v>344362</v>
      </c>
      <c r="G23" s="2">
        <v>1.012</v>
      </c>
    </row>
    <row r="24" spans="1:7" ht="16" x14ac:dyDescent="0.2">
      <c r="A24" s="2" t="s">
        <v>316</v>
      </c>
      <c r="B24" s="2" t="s">
        <v>1330</v>
      </c>
      <c r="C24" s="2" t="s">
        <v>1489</v>
      </c>
      <c r="D24" s="2" t="s">
        <v>1490</v>
      </c>
      <c r="E24" s="2">
        <v>341243</v>
      </c>
      <c r="F24" s="2">
        <v>344362</v>
      </c>
      <c r="G24" s="2">
        <v>1.0089999999999999</v>
      </c>
    </row>
    <row r="25" spans="1:7" ht="16" x14ac:dyDescent="0.2">
      <c r="A25" s="2" t="s">
        <v>316</v>
      </c>
      <c r="B25" s="2" t="s">
        <v>1192</v>
      </c>
      <c r="C25" s="2" t="s">
        <v>1487</v>
      </c>
      <c r="D25" s="2" t="s">
        <v>1488</v>
      </c>
      <c r="E25" s="2">
        <v>349047</v>
      </c>
      <c r="F25" s="2">
        <v>347262</v>
      </c>
      <c r="G25" s="2">
        <v>0.995</v>
      </c>
    </row>
    <row r="26" spans="1:7" ht="16" x14ac:dyDescent="0.2">
      <c r="A26" s="2" t="s">
        <v>316</v>
      </c>
      <c r="B26" s="2" t="s">
        <v>1331</v>
      </c>
      <c r="C26" s="2" t="s">
        <v>1489</v>
      </c>
      <c r="D26" s="2" t="s">
        <v>1490</v>
      </c>
      <c r="E26" s="2">
        <v>347630</v>
      </c>
      <c r="F26" s="2">
        <v>362560</v>
      </c>
      <c r="G26" s="2">
        <v>1.0429999999999999</v>
      </c>
    </row>
    <row r="27" spans="1:7" ht="16" x14ac:dyDescent="0.2">
      <c r="A27" s="2" t="s">
        <v>316</v>
      </c>
      <c r="B27" s="2" t="s">
        <v>1204</v>
      </c>
      <c r="C27" s="2" t="s">
        <v>1487</v>
      </c>
      <c r="D27" s="2" t="s">
        <v>1488</v>
      </c>
      <c r="E27" s="2">
        <v>350200</v>
      </c>
      <c r="F27" s="2">
        <v>362572</v>
      </c>
      <c r="G27" s="2">
        <v>1.0349999999999999</v>
      </c>
    </row>
    <row r="28" spans="1:7" ht="16" x14ac:dyDescent="0.2">
      <c r="A28" s="2" t="s">
        <v>316</v>
      </c>
      <c r="B28" s="2" t="s">
        <v>1332</v>
      </c>
      <c r="C28" s="2" t="s">
        <v>1489</v>
      </c>
      <c r="D28" s="2" t="s">
        <v>1490</v>
      </c>
      <c r="E28" s="2">
        <v>350030</v>
      </c>
      <c r="F28" s="2">
        <v>362582</v>
      </c>
      <c r="G28" s="2">
        <v>1.036</v>
      </c>
    </row>
    <row r="29" spans="1:7" ht="16" x14ac:dyDescent="0.2">
      <c r="A29" s="2" t="s">
        <v>316</v>
      </c>
      <c r="B29" s="2" t="s">
        <v>1216</v>
      </c>
      <c r="C29" s="2" t="s">
        <v>1487</v>
      </c>
      <c r="D29" s="2" t="s">
        <v>1488</v>
      </c>
      <c r="E29" s="2">
        <v>353819</v>
      </c>
      <c r="F29" s="2">
        <v>363058</v>
      </c>
      <c r="G29" s="2">
        <v>1.026</v>
      </c>
    </row>
    <row r="30" spans="1:7" ht="16" x14ac:dyDescent="0.2">
      <c r="A30" s="2" t="s">
        <v>316</v>
      </c>
      <c r="B30" s="2" t="s">
        <v>1333</v>
      </c>
      <c r="C30" s="2" t="s">
        <v>1489</v>
      </c>
      <c r="D30" s="2" t="s">
        <v>1490</v>
      </c>
      <c r="E30" s="2">
        <v>351817</v>
      </c>
      <c r="F30" s="2">
        <v>366576</v>
      </c>
      <c r="G30" s="2">
        <v>1.042</v>
      </c>
    </row>
    <row r="31" spans="1:7" ht="16" x14ac:dyDescent="0.2">
      <c r="A31" s="2" t="s">
        <v>316</v>
      </c>
      <c r="B31" s="2" t="s">
        <v>1228</v>
      </c>
      <c r="C31" s="2" t="s">
        <v>1487</v>
      </c>
      <c r="D31" s="2" t="s">
        <v>1488</v>
      </c>
      <c r="E31" s="2">
        <v>359720</v>
      </c>
      <c r="F31" s="2">
        <v>366580</v>
      </c>
      <c r="G31" s="2">
        <v>1.0189999999999999</v>
      </c>
    </row>
    <row r="32" spans="1:7" ht="16" x14ac:dyDescent="0.2">
      <c r="A32" s="2" t="s">
        <v>316</v>
      </c>
      <c r="B32" s="2" t="s">
        <v>1235</v>
      </c>
      <c r="C32" s="2" t="s">
        <v>1489</v>
      </c>
      <c r="D32" s="2" t="s">
        <v>1490</v>
      </c>
      <c r="E32" s="2">
        <v>352913</v>
      </c>
      <c r="F32" s="2">
        <v>367834</v>
      </c>
      <c r="G32" s="2">
        <v>1.042</v>
      </c>
    </row>
    <row r="33" spans="1:7" ht="16" x14ac:dyDescent="0.2">
      <c r="A33" s="2" t="s">
        <v>316</v>
      </c>
      <c r="B33" s="2" t="s">
        <v>1240</v>
      </c>
      <c r="C33" s="2" t="s">
        <v>1487</v>
      </c>
      <c r="D33" s="2" t="s">
        <v>1488</v>
      </c>
      <c r="E33" s="2">
        <v>367519</v>
      </c>
      <c r="F33" s="2">
        <v>369047</v>
      </c>
      <c r="G33" s="2">
        <v>1.004</v>
      </c>
    </row>
    <row r="34" spans="1:7" ht="16" x14ac:dyDescent="0.2">
      <c r="A34" s="2" t="s">
        <v>316</v>
      </c>
      <c r="B34" s="2" t="s">
        <v>1334</v>
      </c>
      <c r="C34" s="2" t="s">
        <v>1489</v>
      </c>
      <c r="D34" s="2" t="s">
        <v>1490</v>
      </c>
      <c r="E34" s="2">
        <v>356326</v>
      </c>
      <c r="F34" s="2">
        <v>375379</v>
      </c>
      <c r="G34" s="2">
        <v>1.0529999999999999</v>
      </c>
    </row>
    <row r="35" spans="1:7" ht="16" x14ac:dyDescent="0.2">
      <c r="A35" s="2" t="s">
        <v>316</v>
      </c>
      <c r="B35" s="2" t="s">
        <v>1252</v>
      </c>
      <c r="C35" s="2" t="s">
        <v>1487</v>
      </c>
      <c r="D35" s="2" t="s">
        <v>1488</v>
      </c>
      <c r="E35" s="2">
        <v>370211</v>
      </c>
      <c r="F35" s="2">
        <v>375411</v>
      </c>
      <c r="G35" s="2">
        <v>1.014</v>
      </c>
    </row>
    <row r="36" spans="1:7" ht="16" x14ac:dyDescent="0.2">
      <c r="A36" s="2" t="s">
        <v>316</v>
      </c>
      <c r="B36" s="2" t="s">
        <v>1259</v>
      </c>
      <c r="C36" s="2" t="s">
        <v>1489</v>
      </c>
      <c r="D36" s="2" t="s">
        <v>1490</v>
      </c>
      <c r="E36" s="2">
        <v>357046</v>
      </c>
      <c r="F36" s="2">
        <v>375411</v>
      </c>
      <c r="G36" s="2">
        <v>1.0509999999999999</v>
      </c>
    </row>
    <row r="37" spans="1:7" ht="16" x14ac:dyDescent="0.2">
      <c r="A37" s="2" t="s">
        <v>316</v>
      </c>
      <c r="B37" s="2" t="s">
        <v>1335</v>
      </c>
      <c r="C37" s="2" t="s">
        <v>1489</v>
      </c>
      <c r="D37" s="2" t="s">
        <v>1490</v>
      </c>
      <c r="E37" s="2">
        <v>357046</v>
      </c>
      <c r="F37" s="2">
        <v>375411</v>
      </c>
      <c r="G37" s="2">
        <v>1.0509999999999999</v>
      </c>
    </row>
    <row r="38" spans="1:7" ht="16" x14ac:dyDescent="0.2">
      <c r="A38" s="2" t="s">
        <v>316</v>
      </c>
      <c r="B38" s="2" t="s">
        <v>1264</v>
      </c>
      <c r="C38" s="2" t="s">
        <v>1487</v>
      </c>
      <c r="D38" s="2" t="s">
        <v>1488</v>
      </c>
      <c r="E38" s="2">
        <v>371842</v>
      </c>
      <c r="F38" s="2">
        <v>375411</v>
      </c>
      <c r="G38" s="2">
        <v>1.01</v>
      </c>
    </row>
    <row r="39" spans="1:7" ht="16" x14ac:dyDescent="0.2">
      <c r="A39" s="2" t="s">
        <v>316</v>
      </c>
      <c r="B39" s="2" t="s">
        <v>1336</v>
      </c>
      <c r="C39" s="2" t="s">
        <v>1489</v>
      </c>
      <c r="D39" s="2" t="s">
        <v>1490</v>
      </c>
      <c r="E39" s="2">
        <v>360868</v>
      </c>
      <c r="F39" s="2">
        <v>378040</v>
      </c>
      <c r="G39" s="2">
        <v>1.048</v>
      </c>
    </row>
    <row r="40" spans="1:7" ht="16" x14ac:dyDescent="0.2">
      <c r="A40" s="2" t="s">
        <v>316</v>
      </c>
      <c r="B40" s="2" t="s">
        <v>1276</v>
      </c>
      <c r="C40" s="2" t="s">
        <v>1487</v>
      </c>
      <c r="D40" s="2" t="s">
        <v>1488</v>
      </c>
      <c r="E40" s="2">
        <v>377688</v>
      </c>
      <c r="F40" s="2">
        <v>378049</v>
      </c>
      <c r="G40" s="2">
        <v>1.0009999999999999</v>
      </c>
    </row>
    <row r="41" spans="1:7" ht="16" x14ac:dyDescent="0.2">
      <c r="A41" s="2" t="s">
        <v>316</v>
      </c>
      <c r="B41" s="2" t="s">
        <v>1337</v>
      </c>
      <c r="C41" s="2" t="s">
        <v>1489</v>
      </c>
      <c r="D41" s="2" t="s">
        <v>1490</v>
      </c>
      <c r="E41" s="2">
        <v>363220</v>
      </c>
      <c r="F41" s="2">
        <v>378526</v>
      </c>
      <c r="G41" s="2">
        <v>1.042</v>
      </c>
    </row>
    <row r="42" spans="1:7" ht="16" x14ac:dyDescent="0.2">
      <c r="A42" s="2" t="s">
        <v>316</v>
      </c>
      <c r="B42" s="2" t="s">
        <v>1288</v>
      </c>
      <c r="C42" s="2" t="s">
        <v>1487</v>
      </c>
      <c r="D42" s="2" t="s">
        <v>1488</v>
      </c>
      <c r="E42" s="2">
        <v>378137</v>
      </c>
      <c r="F42" s="2">
        <v>378526</v>
      </c>
      <c r="G42" s="2">
        <v>1.0009999999999999</v>
      </c>
    </row>
    <row r="43" spans="1:7" ht="16" x14ac:dyDescent="0.2">
      <c r="A43" s="2" t="s">
        <v>316</v>
      </c>
      <c r="B43" s="2" t="s">
        <v>1295</v>
      </c>
      <c r="C43" s="2" t="s">
        <v>1489</v>
      </c>
      <c r="D43" s="2" t="s">
        <v>1490</v>
      </c>
      <c r="E43" s="2">
        <v>363220</v>
      </c>
      <c r="F43" s="2">
        <v>379726</v>
      </c>
      <c r="G43" s="2">
        <v>1.0449999999999999</v>
      </c>
    </row>
    <row r="44" spans="1:7" ht="16" x14ac:dyDescent="0.2">
      <c r="A44" s="2" t="s">
        <v>316</v>
      </c>
      <c r="B44" s="2" t="s">
        <v>1300</v>
      </c>
      <c r="C44" s="2" t="s">
        <v>1487</v>
      </c>
      <c r="D44" s="2" t="s">
        <v>1488</v>
      </c>
      <c r="E44" s="2">
        <v>379566</v>
      </c>
      <c r="F44" s="2">
        <v>379726</v>
      </c>
      <c r="G44" s="2">
        <v>1</v>
      </c>
    </row>
    <row r="45" spans="1:7" ht="16" x14ac:dyDescent="0.2">
      <c r="A45" s="2" t="s">
        <v>316</v>
      </c>
      <c r="B45" s="2" t="s">
        <v>1300</v>
      </c>
      <c r="C45" s="2" t="s">
        <v>1491</v>
      </c>
      <c r="D45" s="2" t="s">
        <v>1492</v>
      </c>
      <c r="E45" s="2">
        <v>369929</v>
      </c>
      <c r="F45" s="2">
        <v>379726</v>
      </c>
      <c r="G45" s="2">
        <v>1.026</v>
      </c>
    </row>
    <row r="46" spans="1:7" ht="16" x14ac:dyDescent="0.2">
      <c r="A46" s="2" t="s">
        <v>316</v>
      </c>
      <c r="B46" s="2" t="s">
        <v>1338</v>
      </c>
      <c r="C46" s="2" t="s">
        <v>1489</v>
      </c>
      <c r="D46" s="2" t="s">
        <v>1490</v>
      </c>
      <c r="E46" s="2">
        <v>363220</v>
      </c>
      <c r="F46" s="2">
        <v>379726</v>
      </c>
      <c r="G46" s="2">
        <v>1.0449999999999999</v>
      </c>
    </row>
    <row r="47" spans="1:7" ht="16" x14ac:dyDescent="0.2">
      <c r="A47" s="2" t="s">
        <v>316</v>
      </c>
      <c r="B47" s="2" t="s">
        <v>1312</v>
      </c>
      <c r="C47" s="2" t="s">
        <v>1487</v>
      </c>
      <c r="D47" s="2" t="s">
        <v>1488</v>
      </c>
      <c r="E47" s="2">
        <v>380012</v>
      </c>
      <c r="F47" s="2">
        <v>379726</v>
      </c>
      <c r="G47" s="2">
        <v>0.999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4" width="14" customWidth="1"/>
    <col min="5" max="5" width="18" customWidth="1"/>
    <col min="6" max="6" width="16" customWidth="1"/>
    <col min="7" max="7" width="12" customWidth="1"/>
    <col min="8" max="8" width="18" customWidth="1"/>
    <col min="9" max="9" width="12" customWidth="1"/>
  </cols>
  <sheetData>
    <row r="1" spans="1:9" ht="32" x14ac:dyDescent="0.2">
      <c r="A1" s="1" t="s">
        <v>272</v>
      </c>
      <c r="B1" s="1" t="s">
        <v>1493</v>
      </c>
      <c r="C1" s="1" t="s">
        <v>1494</v>
      </c>
      <c r="D1" s="1" t="s">
        <v>1495</v>
      </c>
      <c r="E1" s="1" t="s">
        <v>1496</v>
      </c>
      <c r="F1" s="1" t="s">
        <v>1497</v>
      </c>
      <c r="G1" s="1" t="s">
        <v>1498</v>
      </c>
      <c r="H1" s="1" t="s">
        <v>1499</v>
      </c>
      <c r="I1" s="1" t="s">
        <v>1500</v>
      </c>
    </row>
    <row r="2" spans="1:9" ht="16" x14ac:dyDescent="0.2">
      <c r="A2" s="2" t="s">
        <v>276</v>
      </c>
      <c r="B2" s="2">
        <v>89</v>
      </c>
      <c r="C2" s="2">
        <v>0</v>
      </c>
      <c r="D2" s="2">
        <v>85</v>
      </c>
      <c r="E2" s="2">
        <v>18.841666666666669</v>
      </c>
      <c r="F2" s="2">
        <v>13.72</v>
      </c>
      <c r="G2" s="2">
        <v>58</v>
      </c>
      <c r="H2" s="2">
        <v>171074</v>
      </c>
      <c r="I2" s="2">
        <v>0.90800000000000003</v>
      </c>
    </row>
    <row r="3" spans="1:9" ht="16" x14ac:dyDescent="0.2">
      <c r="A3" s="2" t="s">
        <v>298</v>
      </c>
      <c r="B3" s="2">
        <v>61</v>
      </c>
      <c r="C3" s="2">
        <v>86</v>
      </c>
      <c r="D3" s="2">
        <v>80</v>
      </c>
      <c r="E3" s="2">
        <v>17.883333333333329</v>
      </c>
      <c r="F3" s="2">
        <v>3.85</v>
      </c>
      <c r="G3" s="2">
        <v>33</v>
      </c>
      <c r="H3" s="2">
        <v>136500</v>
      </c>
      <c r="I3" s="2">
        <v>0.59399999999999997</v>
      </c>
    </row>
    <row r="4" spans="1:9" ht="16" x14ac:dyDescent="0.2">
      <c r="A4" s="2" t="s">
        <v>307</v>
      </c>
      <c r="B4" s="2">
        <v>28</v>
      </c>
      <c r="C4" s="2">
        <v>44</v>
      </c>
      <c r="D4" s="2">
        <v>38</v>
      </c>
      <c r="E4" s="2">
        <v>14.5</v>
      </c>
      <c r="F4" s="2">
        <v>3.48</v>
      </c>
      <c r="G4" s="2">
        <v>14</v>
      </c>
      <c r="H4" s="2">
        <v>109223</v>
      </c>
      <c r="I4" s="2">
        <v>0.71199999999999997</v>
      </c>
    </row>
    <row r="5" spans="1:9" ht="16" x14ac:dyDescent="0.2">
      <c r="A5" s="2" t="s">
        <v>316</v>
      </c>
      <c r="B5" s="2">
        <v>0</v>
      </c>
      <c r="C5" s="2">
        <v>300</v>
      </c>
      <c r="D5" s="2">
        <v>63</v>
      </c>
      <c r="E5" s="2"/>
      <c r="F5" s="2">
        <v>3</v>
      </c>
      <c r="G5" s="2">
        <v>0</v>
      </c>
      <c r="H5" s="2">
        <v>0</v>
      </c>
      <c r="I5" s="2">
        <v>0</v>
      </c>
    </row>
    <row r="7" spans="1:9" x14ac:dyDescent="0.2">
      <c r="A7" t="s">
        <v>1501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42" customWidth="1"/>
    <col min="3" max="3" width="34" customWidth="1"/>
    <col min="4" max="4" width="36" customWidth="1"/>
    <col min="5" max="5" width="34" customWidth="1"/>
    <col min="6" max="6" width="50" customWidth="1"/>
  </cols>
  <sheetData>
    <row r="1" spans="1:6" ht="16" x14ac:dyDescent="0.2">
      <c r="A1" s="1" t="s">
        <v>16</v>
      </c>
      <c r="B1" s="1" t="s">
        <v>1502</v>
      </c>
      <c r="C1" s="1" t="s">
        <v>1503</v>
      </c>
      <c r="D1" s="1" t="s">
        <v>1504</v>
      </c>
      <c r="E1" s="1" t="s">
        <v>1505</v>
      </c>
      <c r="F1" s="1" t="s">
        <v>1506</v>
      </c>
    </row>
    <row r="2" spans="1:6" ht="32" x14ac:dyDescent="0.2">
      <c r="A2" s="2" t="s">
        <v>1507</v>
      </c>
      <c r="B2" s="2" t="s">
        <v>1508</v>
      </c>
      <c r="C2" s="2" t="s">
        <v>1509</v>
      </c>
      <c r="D2" s="2" t="s">
        <v>1510</v>
      </c>
      <c r="E2" s="2" t="s">
        <v>1511</v>
      </c>
      <c r="F2" s="2" t="s">
        <v>1512</v>
      </c>
    </row>
    <row r="3" spans="1:6" ht="16" x14ac:dyDescent="0.2">
      <c r="A3" s="2" t="s">
        <v>1513</v>
      </c>
      <c r="B3" s="2" t="s">
        <v>1514</v>
      </c>
      <c r="C3" s="2" t="s">
        <v>1515</v>
      </c>
      <c r="D3" s="2" t="s">
        <v>1516</v>
      </c>
      <c r="E3" s="2" t="s">
        <v>1517</v>
      </c>
      <c r="F3" s="2" t="s">
        <v>1518</v>
      </c>
    </row>
    <row r="4" spans="1:6" ht="16" x14ac:dyDescent="0.2">
      <c r="A4" s="2" t="s">
        <v>1519</v>
      </c>
      <c r="B4" s="2" t="s">
        <v>1520</v>
      </c>
      <c r="C4" s="2" t="s">
        <v>1521</v>
      </c>
      <c r="D4" s="2" t="s">
        <v>1522</v>
      </c>
      <c r="E4" s="2" t="s">
        <v>1523</v>
      </c>
      <c r="F4" s="2" t="s">
        <v>1524</v>
      </c>
    </row>
    <row r="5" spans="1:6" ht="32" x14ac:dyDescent="0.2">
      <c r="A5" s="2" t="s">
        <v>1525</v>
      </c>
      <c r="B5" s="2" t="s">
        <v>1526</v>
      </c>
      <c r="C5" s="2" t="s">
        <v>1515</v>
      </c>
      <c r="D5" s="2" t="s">
        <v>1527</v>
      </c>
      <c r="E5" s="2" t="s">
        <v>1528</v>
      </c>
      <c r="F5" s="2" t="s">
        <v>1529</v>
      </c>
    </row>
    <row r="6" spans="1:6" ht="32" x14ac:dyDescent="0.2">
      <c r="A6" s="2" t="s">
        <v>1530</v>
      </c>
      <c r="B6" s="2" t="s">
        <v>1531</v>
      </c>
      <c r="C6" s="2" t="s">
        <v>1532</v>
      </c>
      <c r="D6" s="2" t="s">
        <v>1533</v>
      </c>
      <c r="E6" s="2" t="s">
        <v>1534</v>
      </c>
      <c r="F6" s="2" t="s">
        <v>1535</v>
      </c>
    </row>
    <row r="7" spans="1:6" ht="32" x14ac:dyDescent="0.2">
      <c r="A7" s="2" t="s">
        <v>1536</v>
      </c>
      <c r="B7" s="2" t="s">
        <v>1537</v>
      </c>
      <c r="C7" s="2" t="s">
        <v>1538</v>
      </c>
      <c r="D7" s="2" t="s">
        <v>1539</v>
      </c>
      <c r="E7" s="2" t="s">
        <v>1540</v>
      </c>
      <c r="F7" s="2" t="s">
        <v>1524</v>
      </c>
    </row>
    <row r="8" spans="1:6" ht="16" x14ac:dyDescent="0.2">
      <c r="A8" s="2" t="s">
        <v>1541</v>
      </c>
      <c r="B8" s="2" t="s">
        <v>1542</v>
      </c>
      <c r="C8" s="2" t="s">
        <v>1543</v>
      </c>
      <c r="D8" s="2" t="s">
        <v>1544</v>
      </c>
      <c r="E8" s="2" t="s">
        <v>1545</v>
      </c>
      <c r="F8" s="2" t="s">
        <v>124</v>
      </c>
    </row>
    <row r="9" spans="1:6" ht="16" x14ac:dyDescent="0.2">
      <c r="A9" s="2" t="s">
        <v>1546</v>
      </c>
      <c r="B9" s="2" t="s">
        <v>1547</v>
      </c>
      <c r="C9" s="2" t="s">
        <v>1548</v>
      </c>
      <c r="D9" s="2" t="s">
        <v>1549</v>
      </c>
      <c r="E9" s="2" t="s">
        <v>1550</v>
      </c>
      <c r="F9" s="2" t="s">
        <v>1551</v>
      </c>
    </row>
    <row r="10" spans="1:6" ht="48" x14ac:dyDescent="0.2">
      <c r="A10" s="2" t="s">
        <v>1552</v>
      </c>
      <c r="B10" s="2" t="s">
        <v>1553</v>
      </c>
      <c r="C10" s="2" t="s">
        <v>1554</v>
      </c>
      <c r="D10" s="2" t="s">
        <v>1555</v>
      </c>
      <c r="E10" s="2" t="s">
        <v>1556</v>
      </c>
      <c r="F10" s="2" t="s">
        <v>1557</v>
      </c>
    </row>
    <row r="11" spans="1:6" ht="48" x14ac:dyDescent="0.2">
      <c r="A11" s="2" t="s">
        <v>1558</v>
      </c>
      <c r="B11" s="2" t="s">
        <v>1559</v>
      </c>
      <c r="C11" s="2" t="s">
        <v>1560</v>
      </c>
      <c r="D11" s="2" t="s">
        <v>1561</v>
      </c>
      <c r="E11" s="2" t="s">
        <v>1562</v>
      </c>
      <c r="F11" s="2" t="s">
        <v>1563</v>
      </c>
    </row>
    <row r="12" spans="1:6" ht="32" x14ac:dyDescent="0.2">
      <c r="A12" s="2" t="s">
        <v>1564</v>
      </c>
      <c r="B12" s="2" t="s">
        <v>1565</v>
      </c>
      <c r="C12" s="2" t="s">
        <v>1566</v>
      </c>
      <c r="D12" s="2" t="s">
        <v>1567</v>
      </c>
      <c r="E12" s="2" t="s">
        <v>1568</v>
      </c>
      <c r="F12" s="2" t="s">
        <v>1569</v>
      </c>
    </row>
    <row r="13" spans="1:6" ht="32" x14ac:dyDescent="0.2">
      <c r="A13" s="2" t="s">
        <v>1570</v>
      </c>
      <c r="B13" s="2" t="s">
        <v>1571</v>
      </c>
      <c r="C13" s="2" t="s">
        <v>1572</v>
      </c>
      <c r="D13" s="2" t="s">
        <v>1573</v>
      </c>
      <c r="E13" s="2" t="s">
        <v>1574</v>
      </c>
      <c r="F13" s="2" t="s">
        <v>151</v>
      </c>
    </row>
    <row r="14" spans="1:6" ht="32" x14ac:dyDescent="0.2">
      <c r="A14" s="2" t="s">
        <v>1575</v>
      </c>
      <c r="B14" s="2" t="s">
        <v>1576</v>
      </c>
      <c r="C14" s="2" t="s">
        <v>1577</v>
      </c>
      <c r="D14" s="2" t="s">
        <v>1578</v>
      </c>
      <c r="E14" s="2" t="s">
        <v>1579</v>
      </c>
      <c r="F14" s="2" t="s">
        <v>1580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16" width="30" customWidth="1"/>
  </cols>
  <sheetData>
    <row r="1" spans="1:16" ht="16" x14ac:dyDescent="0.2">
      <c r="A1" s="1" t="s">
        <v>730</v>
      </c>
      <c r="B1" s="1" t="s">
        <v>1581</v>
      </c>
      <c r="C1" s="1" t="s">
        <v>1582</v>
      </c>
      <c r="D1" s="1" t="s">
        <v>1583</v>
      </c>
      <c r="E1" s="1" t="s">
        <v>1584</v>
      </c>
      <c r="F1" s="1" t="s">
        <v>1585</v>
      </c>
      <c r="G1" s="1" t="s">
        <v>1586</v>
      </c>
      <c r="H1" s="1" t="s">
        <v>1587</v>
      </c>
      <c r="I1" s="1" t="s">
        <v>1588</v>
      </c>
      <c r="J1" s="1" t="s">
        <v>1589</v>
      </c>
      <c r="K1" s="1" t="s">
        <v>1590</v>
      </c>
      <c r="L1" s="1" t="s">
        <v>1591</v>
      </c>
      <c r="M1" s="1" t="s">
        <v>1592</v>
      </c>
      <c r="N1" s="1" t="s">
        <v>1593</v>
      </c>
      <c r="O1" s="1" t="s">
        <v>1594</v>
      </c>
      <c r="P1" s="1" t="s">
        <v>1595</v>
      </c>
    </row>
    <row r="2" spans="1:16" ht="32" x14ac:dyDescent="0.2">
      <c r="A2" s="2" t="s">
        <v>276</v>
      </c>
      <c r="B2" s="2" t="s">
        <v>1596</v>
      </c>
      <c r="C2" s="2" t="s">
        <v>1597</v>
      </c>
      <c r="D2" s="2" t="s">
        <v>1598</v>
      </c>
      <c r="E2" s="2" t="s">
        <v>1599</v>
      </c>
      <c r="F2" s="2" t="s">
        <v>1598</v>
      </c>
      <c r="G2" s="2" t="s">
        <v>1600</v>
      </c>
      <c r="H2" s="2" t="s">
        <v>1601</v>
      </c>
      <c r="I2" s="2" t="s">
        <v>1602</v>
      </c>
      <c r="J2" s="2" t="s">
        <v>1603</v>
      </c>
      <c r="K2" s="2" t="s">
        <v>1604</v>
      </c>
      <c r="L2" s="2"/>
      <c r="M2" s="2" t="s">
        <v>1605</v>
      </c>
      <c r="N2" s="2" t="s">
        <v>1606</v>
      </c>
      <c r="O2" s="2" t="s">
        <v>1607</v>
      </c>
      <c r="P2" s="2" t="s">
        <v>1608</v>
      </c>
    </row>
    <row r="3" spans="1:16" ht="32" x14ac:dyDescent="0.2">
      <c r="A3" s="2" t="s">
        <v>298</v>
      </c>
      <c r="B3" s="2" t="s">
        <v>1609</v>
      </c>
      <c r="C3" s="2" t="s">
        <v>1610</v>
      </c>
      <c r="D3" s="2" t="s">
        <v>1611</v>
      </c>
      <c r="E3" s="2" t="s">
        <v>1612</v>
      </c>
      <c r="F3" s="2" t="s">
        <v>1613</v>
      </c>
      <c r="G3" s="2" t="s">
        <v>1614</v>
      </c>
      <c r="H3" s="2" t="s">
        <v>1615</v>
      </c>
      <c r="I3" s="2" t="s">
        <v>1616</v>
      </c>
      <c r="J3" s="2" t="s">
        <v>1617</v>
      </c>
      <c r="K3" s="2" t="s">
        <v>1618</v>
      </c>
      <c r="L3" s="2" t="s">
        <v>1619</v>
      </c>
      <c r="M3" s="2" t="s">
        <v>1620</v>
      </c>
      <c r="N3" s="2" t="s">
        <v>1621</v>
      </c>
      <c r="O3" s="2" t="s">
        <v>1622</v>
      </c>
      <c r="P3" s="2" t="s">
        <v>1623</v>
      </c>
    </row>
    <row r="4" spans="1:16" ht="32" x14ac:dyDescent="0.2">
      <c r="A4" s="2" t="s">
        <v>307</v>
      </c>
      <c r="B4" s="2" t="s">
        <v>1624</v>
      </c>
      <c r="C4" s="2" t="s">
        <v>1625</v>
      </c>
      <c r="D4" s="2" t="s">
        <v>1626</v>
      </c>
      <c r="E4" s="2" t="s">
        <v>1627</v>
      </c>
      <c r="F4" s="2" t="s">
        <v>1628</v>
      </c>
      <c r="G4" s="2" t="s">
        <v>1629</v>
      </c>
      <c r="H4" s="2" t="s">
        <v>1630</v>
      </c>
      <c r="I4" s="2" t="s">
        <v>1631</v>
      </c>
      <c r="J4" s="2" t="s">
        <v>752</v>
      </c>
      <c r="K4" s="2" t="s">
        <v>1632</v>
      </c>
      <c r="L4" s="2" t="s">
        <v>1633</v>
      </c>
      <c r="M4" s="2" t="s">
        <v>1634</v>
      </c>
      <c r="N4" s="2" t="s">
        <v>1635</v>
      </c>
      <c r="O4" s="2" t="s">
        <v>1636</v>
      </c>
      <c r="P4" s="2" t="s">
        <v>1623</v>
      </c>
    </row>
    <row r="5" spans="1:16" ht="48" x14ac:dyDescent="0.2">
      <c r="A5" s="2" t="s">
        <v>316</v>
      </c>
      <c r="B5" s="2" t="s">
        <v>1637</v>
      </c>
      <c r="C5" s="2" t="s">
        <v>1638</v>
      </c>
      <c r="D5" s="2" t="s">
        <v>1639</v>
      </c>
      <c r="E5" s="2" t="s">
        <v>1640</v>
      </c>
      <c r="F5" s="2"/>
      <c r="G5" s="2" t="s">
        <v>1641</v>
      </c>
      <c r="H5" s="2" t="s">
        <v>1642</v>
      </c>
      <c r="I5" s="2" t="s">
        <v>1643</v>
      </c>
      <c r="J5" s="2"/>
      <c r="K5" s="2" t="s">
        <v>1644</v>
      </c>
      <c r="L5" s="2" t="s">
        <v>1645</v>
      </c>
      <c r="M5" s="2" t="s">
        <v>1646</v>
      </c>
      <c r="N5" s="2" t="s">
        <v>1647</v>
      </c>
      <c r="O5" s="2" t="s">
        <v>1648</v>
      </c>
      <c r="P5" s="2" t="s">
        <v>1649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40" customWidth="1"/>
    <col min="3" max="3" width="22" customWidth="1"/>
    <col min="4" max="6" width="30" customWidth="1"/>
    <col min="7" max="7" width="26" customWidth="1"/>
  </cols>
  <sheetData>
    <row r="1" spans="1:7" ht="32" x14ac:dyDescent="0.2">
      <c r="A1" s="1" t="s">
        <v>1650</v>
      </c>
      <c r="B1" s="1" t="s">
        <v>1651</v>
      </c>
      <c r="C1" s="1" t="s">
        <v>1652</v>
      </c>
      <c r="D1" s="1" t="s">
        <v>1653</v>
      </c>
      <c r="E1" s="1" t="s">
        <v>1654</v>
      </c>
      <c r="F1" s="1" t="s">
        <v>1655</v>
      </c>
      <c r="G1" s="1" t="s">
        <v>23</v>
      </c>
    </row>
    <row r="2" spans="1:7" ht="48" x14ac:dyDescent="0.2">
      <c r="A2" s="2" t="s">
        <v>1656</v>
      </c>
      <c r="B2" s="2" t="s">
        <v>1657</v>
      </c>
      <c r="C2" s="2" t="s">
        <v>1658</v>
      </c>
      <c r="D2" s="2" t="s">
        <v>1659</v>
      </c>
      <c r="E2" s="2" t="s">
        <v>1660</v>
      </c>
      <c r="F2" s="2" t="s">
        <v>1661</v>
      </c>
      <c r="G2" s="2" t="s">
        <v>1662</v>
      </c>
    </row>
    <row r="3" spans="1:7" ht="32" x14ac:dyDescent="0.2">
      <c r="A3" s="2" t="s">
        <v>1663</v>
      </c>
      <c r="B3" s="2" t="s">
        <v>1664</v>
      </c>
      <c r="C3" s="2" t="s">
        <v>1665</v>
      </c>
      <c r="D3" s="2" t="s">
        <v>1666</v>
      </c>
      <c r="E3" s="2" t="s">
        <v>1667</v>
      </c>
      <c r="F3" s="2" t="s">
        <v>1668</v>
      </c>
      <c r="G3" s="2" t="s">
        <v>1669</v>
      </c>
    </row>
    <row r="4" spans="1:7" ht="32" x14ac:dyDescent="0.2">
      <c r="A4" s="2" t="s">
        <v>1670</v>
      </c>
      <c r="B4" s="2" t="s">
        <v>1671</v>
      </c>
      <c r="C4" s="2" t="s">
        <v>1672</v>
      </c>
      <c r="D4" s="2" t="s">
        <v>1673</v>
      </c>
      <c r="E4" s="2" t="s">
        <v>1674</v>
      </c>
      <c r="F4" s="2" t="s">
        <v>1675</v>
      </c>
      <c r="G4" s="2" t="s">
        <v>1676</v>
      </c>
    </row>
    <row r="5" spans="1:7" ht="48" x14ac:dyDescent="0.2">
      <c r="A5" s="2" t="s">
        <v>1677</v>
      </c>
      <c r="B5" s="2" t="s">
        <v>1678</v>
      </c>
      <c r="C5" s="2" t="s">
        <v>1679</v>
      </c>
      <c r="D5" s="2" t="s">
        <v>1680</v>
      </c>
      <c r="E5" s="2" t="s">
        <v>1681</v>
      </c>
      <c r="F5" s="2" t="s">
        <v>1682</v>
      </c>
      <c r="G5" s="2" t="s">
        <v>1683</v>
      </c>
    </row>
    <row r="6" spans="1:7" ht="32" x14ac:dyDescent="0.2">
      <c r="A6" s="2" t="s">
        <v>1684</v>
      </c>
      <c r="B6" s="2" t="s">
        <v>1685</v>
      </c>
      <c r="C6" s="2" t="s">
        <v>1686</v>
      </c>
      <c r="D6" s="2" t="s">
        <v>1687</v>
      </c>
      <c r="E6" s="2" t="s">
        <v>1688</v>
      </c>
      <c r="F6" s="2" t="s">
        <v>1689</v>
      </c>
      <c r="G6" s="2" t="s">
        <v>1690</v>
      </c>
    </row>
    <row r="7" spans="1:7" ht="64" x14ac:dyDescent="0.2">
      <c r="A7" s="2" t="s">
        <v>1691</v>
      </c>
      <c r="B7" s="2" t="s">
        <v>1692</v>
      </c>
      <c r="C7" s="2" t="s">
        <v>1693</v>
      </c>
      <c r="D7" s="2" t="s">
        <v>1694</v>
      </c>
      <c r="E7" s="2" t="s">
        <v>1695</v>
      </c>
      <c r="F7" s="2" t="s">
        <v>1696</v>
      </c>
      <c r="G7" s="2" t="s">
        <v>1697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8" customWidth="1"/>
    <col min="3" max="3" width="22" customWidth="1"/>
    <col min="4" max="4" width="26" customWidth="1"/>
    <col min="5" max="5" width="60" customWidth="1"/>
  </cols>
  <sheetData>
    <row r="1" spans="1:5" ht="32" x14ac:dyDescent="0.2">
      <c r="A1" s="1" t="s">
        <v>1698</v>
      </c>
      <c r="B1" s="1" t="s">
        <v>1699</v>
      </c>
      <c r="C1" s="1" t="s">
        <v>1700</v>
      </c>
      <c r="D1" s="1" t="s">
        <v>1701</v>
      </c>
      <c r="E1" s="1" t="s">
        <v>1702</v>
      </c>
    </row>
    <row r="2" spans="1:5" ht="16" x14ac:dyDescent="0.2">
      <c r="A2" s="2" t="s">
        <v>1703</v>
      </c>
      <c r="B2" s="2">
        <v>12</v>
      </c>
      <c r="C2" s="2">
        <v>2</v>
      </c>
      <c r="D2" s="2">
        <v>3</v>
      </c>
      <c r="E2" s="2" t="s">
        <v>1704</v>
      </c>
    </row>
    <row r="3" spans="1:5" ht="16" x14ac:dyDescent="0.2">
      <c r="A3" s="2" t="s">
        <v>1705</v>
      </c>
      <c r="B3" s="2">
        <v>6</v>
      </c>
      <c r="C3" s="2">
        <v>4</v>
      </c>
      <c r="D3" s="2">
        <v>3</v>
      </c>
      <c r="E3" s="2" t="s">
        <v>1706</v>
      </c>
    </row>
    <row r="4" spans="1:5" ht="16" x14ac:dyDescent="0.2">
      <c r="A4" s="2" t="s">
        <v>1707</v>
      </c>
      <c r="B4" s="2">
        <v>8</v>
      </c>
      <c r="C4" s="2">
        <v>3</v>
      </c>
      <c r="D4" s="2">
        <v>3</v>
      </c>
      <c r="E4" s="2" t="s">
        <v>1708</v>
      </c>
    </row>
    <row r="5" spans="1:5" ht="16" x14ac:dyDescent="0.2">
      <c r="A5" s="2" t="s">
        <v>1709</v>
      </c>
      <c r="B5" s="2">
        <v>0.28000000000000003</v>
      </c>
      <c r="C5" s="2">
        <v>85</v>
      </c>
      <c r="D5" s="2" t="s">
        <v>1710</v>
      </c>
      <c r="E5" s="2" t="s">
        <v>1711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60" customWidth="1"/>
    <col min="3" max="3" width="40" customWidth="1"/>
    <col min="4" max="4" width="30" customWidth="1"/>
    <col min="5" max="5" width="40" customWidth="1"/>
  </cols>
  <sheetData>
    <row r="1" spans="1:5" ht="16" x14ac:dyDescent="0.2">
      <c r="A1" s="1" t="s">
        <v>1712</v>
      </c>
      <c r="B1" s="1" t="s">
        <v>1713</v>
      </c>
      <c r="C1" s="1" t="s">
        <v>1714</v>
      </c>
      <c r="D1" s="1" t="s">
        <v>1715</v>
      </c>
      <c r="E1" s="1" t="s">
        <v>1716</v>
      </c>
    </row>
    <row r="2" spans="1:5" ht="48" x14ac:dyDescent="0.2">
      <c r="A2" s="2" t="s">
        <v>1717</v>
      </c>
      <c r="B2" s="2" t="s">
        <v>1718</v>
      </c>
      <c r="C2" s="2" t="s">
        <v>1719</v>
      </c>
      <c r="D2" s="2" t="s">
        <v>209</v>
      </c>
      <c r="E2" s="2" t="s">
        <v>1720</v>
      </c>
    </row>
    <row r="3" spans="1:5" ht="32" x14ac:dyDescent="0.2">
      <c r="A3" s="2" t="s">
        <v>1721</v>
      </c>
      <c r="B3" s="2" t="s">
        <v>1722</v>
      </c>
      <c r="C3" s="2" t="s">
        <v>1723</v>
      </c>
      <c r="D3" s="2" t="s">
        <v>1724</v>
      </c>
      <c r="E3" s="2" t="s">
        <v>1725</v>
      </c>
    </row>
    <row r="4" spans="1:5" ht="32" x14ac:dyDescent="0.2">
      <c r="A4" s="2" t="s">
        <v>1726</v>
      </c>
      <c r="B4" s="2" t="s">
        <v>1727</v>
      </c>
      <c r="C4" s="2" t="s">
        <v>1728</v>
      </c>
      <c r="D4" s="2" t="s">
        <v>1729</v>
      </c>
      <c r="E4" s="2" t="s">
        <v>1730</v>
      </c>
    </row>
    <row r="5" spans="1:5" ht="48" x14ac:dyDescent="0.2">
      <c r="A5" s="2" t="s">
        <v>1731</v>
      </c>
      <c r="B5" s="2" t="s">
        <v>1732</v>
      </c>
      <c r="C5" s="2" t="s">
        <v>1733</v>
      </c>
      <c r="D5" s="2" t="s">
        <v>1734</v>
      </c>
      <c r="E5" s="2" t="s">
        <v>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Uncertainty Register</vt:lpstr>
      <vt:lpstr>QoI Metrics</vt:lpstr>
      <vt:lpstr>Experiment Matrix</vt:lpstr>
      <vt:lpstr>Feasibility</vt:lpstr>
      <vt:lpstr>Case Study Summary</vt:lpstr>
      <vt:lpstr>Size Reconciliation</vt:lpstr>
      <vt:lpstr>Reporting Cadence</vt:lpstr>
      <vt:lpstr>Blowup Shortfall</vt:lpstr>
      <vt:lpstr>Daily Growth</vt:lpstr>
      <vt:lpstr>Resources M5</vt:lpstr>
      <vt:lpstr>Gap Register</vt:lpstr>
      <vt:lpstr>Hazard Info Age</vt:lpstr>
      <vt:lpstr>Revisit Curve</vt:lpstr>
      <vt:lpstr>Staleness</vt:lpstr>
      <vt:lpstr>Start and Containment</vt:lpstr>
      <vt:lpstr>Timestamp Flags</vt:lpstr>
      <vt:lpstr>GOFER vs Sources</vt:lpstr>
      <vt:lpstr>Supplement Sources</vt:lpstr>
      <vt:lpstr>Data Quality</vt:lpstr>
      <vt:lpstr>First Report Chain</vt:lpstr>
      <vt:lpstr>Drone Gap Coverage</vt:lpstr>
      <vt:lpstr>Drone Sortie Math</vt:lpstr>
      <vt:lpstr>M5 Questions (Week 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 Lopez</cp:lastModifiedBy>
  <dcterms:created xsi:type="dcterms:W3CDTF">2026-10-07T16:55:42Z</dcterms:created>
  <dcterms:modified xsi:type="dcterms:W3CDTF">2026-10-20T20:14:13Z</dcterms:modified>
</cp:coreProperties>
</file>